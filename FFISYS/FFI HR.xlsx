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joud\Downloads\"/>
    </mc:Choice>
  </mc:AlternateContent>
  <xr:revisionPtr revIDLastSave="0" documentId="13_ncr:1_{39E023F0-53C5-465E-BCA0-A696A3C43FE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FI" sheetId="1" r:id="rId1"/>
    <sheet name="ASICOPRO" sheetId="3" r:id="rId2"/>
    <sheet name="Thuraya EST" sheetId="2" r:id="rId3"/>
    <sheet name="AJEER" sheetId="4" r:id="rId4"/>
  </sheets>
  <definedNames>
    <definedName name="_xlnm._FilterDatabase" localSheetId="0" hidden="1">FFI!$A$1:$AA$17</definedName>
  </definedNames>
  <calcPr calcId="181029"/>
</workbook>
</file>

<file path=xl/calcChain.xml><?xml version="1.0" encoding="utf-8"?>
<calcChain xmlns="http://schemas.openxmlformats.org/spreadsheetml/2006/main">
  <c r="C34" i="1" l="1"/>
  <c r="AC11" i="4"/>
  <c r="X10" i="4"/>
  <c r="X9" i="4"/>
  <c r="X8" i="4"/>
  <c r="X3" i="4"/>
  <c r="X2" i="4"/>
  <c r="AC5" i="2"/>
  <c r="X4" i="2"/>
  <c r="X3" i="2"/>
  <c r="X5" i="2" s="1"/>
  <c r="AC5" i="3"/>
  <c r="X4" i="3"/>
  <c r="X3" i="3"/>
  <c r="X2" i="3"/>
  <c r="Y25" i="1"/>
  <c r="Y26" i="1"/>
  <c r="Y22" i="1"/>
  <c r="Y23" i="1"/>
  <c r="Y24" i="1"/>
  <c r="X11" i="4" l="1"/>
  <c r="AD11" i="4" s="1"/>
  <c r="X5" i="3"/>
  <c r="AD5" i="3" s="1"/>
  <c r="AD5" i="2"/>
  <c r="Y21" i="1"/>
  <c r="Y20" i="1"/>
  <c r="Y19" i="1"/>
  <c r="Y18" i="1"/>
  <c r="Y14" i="1" l="1"/>
  <c r="Y15" i="1"/>
  <c r="Y16" i="1"/>
  <c r="Y17" i="1"/>
  <c r="Y2" i="1"/>
  <c r="Y7" i="1"/>
  <c r="Y4" i="1" l="1"/>
  <c r="Y5" i="1"/>
  <c r="Y9" i="1"/>
  <c r="Y10" i="1"/>
  <c r="Y12" i="1"/>
  <c r="Y13" i="1"/>
  <c r="Y3" i="1"/>
  <c r="AD27" i="1" l="1"/>
</calcChain>
</file>

<file path=xl/sharedStrings.xml><?xml version="1.0" encoding="utf-8"?>
<sst xmlns="http://schemas.openxmlformats.org/spreadsheetml/2006/main" count="766" uniqueCount="363">
  <si>
    <r>
      <rPr>
        <sz val="11"/>
        <color theme="1"/>
        <rFont val="Calibri"/>
        <family val="2"/>
      </rPr>
      <t>Emp Full Name</t>
    </r>
  </si>
  <si>
    <r>
      <rPr>
        <sz val="11"/>
        <color theme="1"/>
        <rFont val="Calibri"/>
        <family val="2"/>
      </rPr>
      <t>Nationality Name</t>
    </r>
  </si>
  <si>
    <r>
      <rPr>
        <sz val="11"/>
        <color theme="1"/>
        <rFont val="Calibri"/>
        <family val="2"/>
      </rPr>
      <t>Position Name</t>
    </r>
  </si>
  <si>
    <r>
      <rPr>
        <sz val="11"/>
        <color theme="1"/>
        <rFont val="Calibri"/>
        <family val="2"/>
      </rPr>
      <t>Passport Number</t>
    </r>
  </si>
  <si>
    <r>
      <rPr>
        <sz val="11"/>
        <color theme="1"/>
        <rFont val="Calibri"/>
        <family val="2"/>
      </rPr>
      <t>Passport Expiry</t>
    </r>
  </si>
  <si>
    <r>
      <rPr>
        <sz val="11"/>
        <color theme="1"/>
        <rFont val="Calibri"/>
        <family val="2"/>
      </rPr>
      <t>Permanent Employee</t>
    </r>
  </si>
  <si>
    <r>
      <rPr>
        <sz val="11"/>
        <color theme="1"/>
        <rFont val="Calibri"/>
        <family val="2"/>
      </rPr>
      <t>Health Card</t>
    </r>
  </si>
  <si>
    <r>
      <rPr>
        <sz val="11"/>
        <color theme="1"/>
        <rFont val="Calibri"/>
        <family val="2"/>
      </rPr>
      <t>Health Card Expiry</t>
    </r>
  </si>
  <si>
    <r>
      <rPr>
        <sz val="11"/>
        <color theme="1"/>
        <rFont val="Calibri"/>
        <family val="2"/>
      </rPr>
      <t>Mobile Number</t>
    </r>
  </si>
  <si>
    <r>
      <rPr>
        <sz val="11"/>
        <color theme="1"/>
        <rFont val="Calibri"/>
        <family val="2"/>
      </rPr>
      <t>Basic Salary</t>
    </r>
  </si>
  <si>
    <r>
      <rPr>
        <sz val="11"/>
        <color theme="1"/>
        <rFont val="Calibri"/>
        <family val="2"/>
      </rPr>
      <t>Food Allowance</t>
    </r>
  </si>
  <si>
    <r>
      <rPr>
        <sz val="11"/>
        <color theme="1"/>
        <rFont val="Calibri"/>
        <family val="2"/>
      </rPr>
      <t>Transportation Allowance</t>
    </r>
  </si>
  <si>
    <r>
      <rPr>
        <sz val="11"/>
        <color theme="1"/>
        <rFont val="Calibri"/>
        <family val="2"/>
      </rPr>
      <t>Accommodation Allowance</t>
    </r>
  </si>
  <si>
    <r>
      <rPr>
        <sz val="11"/>
        <color theme="1"/>
        <rFont val="Calibri"/>
        <family val="2"/>
      </rPr>
      <t>Telephone Allowance</t>
    </r>
  </si>
  <si>
    <r>
      <rPr>
        <sz val="11"/>
        <color theme="1"/>
        <rFont val="Calibri"/>
        <family val="2"/>
      </rPr>
      <t>Other Allowance</t>
    </r>
  </si>
  <si>
    <r>
      <rPr>
        <sz val="11"/>
        <color theme="1"/>
        <rFont val="Calibri"/>
        <family val="2"/>
      </rPr>
      <t>Total Salary</t>
    </r>
  </si>
  <si>
    <r>
      <rPr>
        <sz val="11"/>
        <color theme="1"/>
        <rFont val="Calibri"/>
        <family val="2"/>
      </rPr>
      <t>Payment Mode</t>
    </r>
  </si>
  <si>
    <r>
      <rPr>
        <sz val="11"/>
        <color theme="1"/>
        <rFont val="Calibri"/>
        <family val="2"/>
      </rPr>
      <t>Date Of Birth</t>
    </r>
  </si>
  <si>
    <t>temporary Joining Date</t>
  </si>
  <si>
    <t>Saudi ID</t>
  </si>
  <si>
    <t>Saudi ID Expiry</t>
  </si>
  <si>
    <t>FFI - AAC</t>
  </si>
  <si>
    <t>Task Group Name</t>
  </si>
  <si>
    <t>Allowed Overtime</t>
  </si>
  <si>
    <t>Egypt</t>
  </si>
  <si>
    <t>Mahmoud Emad Salam</t>
  </si>
  <si>
    <t>Faisal Ahmed</t>
  </si>
  <si>
    <t>Miraj Ali Ansari</t>
  </si>
  <si>
    <t>Bengali</t>
  </si>
  <si>
    <t>India</t>
  </si>
  <si>
    <t>Pakistan</t>
  </si>
  <si>
    <t>Executive Director</t>
  </si>
  <si>
    <t>accountant</t>
  </si>
  <si>
    <t>DC</t>
  </si>
  <si>
    <t>Ahmed Salem Youssef Mohammed</t>
  </si>
  <si>
    <t>Sudan</t>
  </si>
  <si>
    <t>Director of the Survey Department</t>
  </si>
  <si>
    <t>Surveyor's Assistant</t>
  </si>
  <si>
    <t>Ahmed Mohamed El-Sayed</t>
  </si>
  <si>
    <t>Safety Engineer</t>
  </si>
  <si>
    <t>Safety</t>
  </si>
  <si>
    <t>sales</t>
  </si>
  <si>
    <t>Mohammed Osama M.Ibrahim Mahmoud</t>
  </si>
  <si>
    <t>Executive Director 2</t>
  </si>
  <si>
    <t>Ejaj Ahmed</t>
  </si>
  <si>
    <t>Petrol Allowance</t>
  </si>
  <si>
    <t>I0215367</t>
  </si>
  <si>
    <t>Permanent Joining Date</t>
  </si>
  <si>
    <t>FFI-PROJ-BRF</t>
  </si>
  <si>
    <t>24/10/2025</t>
  </si>
  <si>
    <t xml:space="preserve">FFI  </t>
  </si>
  <si>
    <t>Sponsor Code</t>
  </si>
  <si>
    <t>Work Place Code</t>
  </si>
  <si>
    <t>Cِِِash</t>
  </si>
  <si>
    <t>A35015822</t>
  </si>
  <si>
    <t xml:space="preserve">FFI </t>
  </si>
  <si>
    <t>21/05/1994</t>
  </si>
  <si>
    <t>20/03/1999</t>
  </si>
  <si>
    <t>A32576722</t>
  </si>
  <si>
    <t>28/12/2029</t>
  </si>
  <si>
    <t>24/08/2025</t>
  </si>
  <si>
    <t>EL0149161</t>
  </si>
  <si>
    <t>A38925122</t>
  </si>
  <si>
    <t>30/11/2025</t>
  </si>
  <si>
    <t>15/10/1992</t>
  </si>
  <si>
    <t>Surveyor</t>
  </si>
  <si>
    <t>A37832201</t>
  </si>
  <si>
    <t>27/05/2031</t>
  </si>
  <si>
    <t>17/07/1993</t>
  </si>
  <si>
    <t>FH578173</t>
  </si>
  <si>
    <t>16/10/2024</t>
  </si>
  <si>
    <t>19/05/1995</t>
  </si>
  <si>
    <t>W0296445</t>
  </si>
  <si>
    <t>16/10/2032</t>
  </si>
  <si>
    <t>25/02/1968</t>
  </si>
  <si>
    <t>P13807963</t>
  </si>
  <si>
    <t>Abdul Maroof Muhammad Azam</t>
  </si>
  <si>
    <t>pakistan</t>
  </si>
  <si>
    <t>AAY09823181</t>
  </si>
  <si>
    <t>19/09/2028</t>
  </si>
  <si>
    <t>29/06/2000</t>
  </si>
  <si>
    <t>Rameez Riaz Ahmed Khaskheli</t>
  </si>
  <si>
    <t>office boy</t>
  </si>
  <si>
    <t>KB0006171</t>
  </si>
  <si>
    <t>FFI</t>
  </si>
  <si>
    <t>Khuram Shahzad Tanveer Hussain Shan</t>
  </si>
  <si>
    <t>Master Plumber</t>
  </si>
  <si>
    <t>CM5144633</t>
  </si>
  <si>
    <t>18/01/2032</t>
  </si>
  <si>
    <t>Tarij Mahmod Ghulam Rasol</t>
  </si>
  <si>
    <t>Construction Electrician</t>
  </si>
  <si>
    <t>Mohsen Mohamed Ibrahim El Sharkawy</t>
  </si>
  <si>
    <t>Driver</t>
  </si>
  <si>
    <t>A25283107</t>
  </si>
  <si>
    <t>24/07/2026</t>
  </si>
  <si>
    <t>A26574366</t>
  </si>
  <si>
    <t>Abdalla Ghalab Abelaal Galab</t>
  </si>
  <si>
    <t>CFO</t>
  </si>
  <si>
    <t>A39409697</t>
  </si>
  <si>
    <t>22/10/2031</t>
  </si>
  <si>
    <t>29/05/2025</t>
  </si>
  <si>
    <t>Abdulaal Ridha Abdulaal Sultan</t>
  </si>
  <si>
    <t>CEO</t>
  </si>
  <si>
    <t>A28737237</t>
  </si>
  <si>
    <t>FFI-FAD-HO</t>
  </si>
  <si>
    <t>FFI-HR-HO</t>
  </si>
  <si>
    <t>Accountant</t>
  </si>
  <si>
    <t>A26507400</t>
  </si>
  <si>
    <t>26/01/2027</t>
  </si>
  <si>
    <t>19/07/2035</t>
  </si>
  <si>
    <t>Moajjem Hossain</t>
  </si>
  <si>
    <t>A01723172</t>
  </si>
  <si>
    <t>Kamran Ali Ghulam Mallah</t>
  </si>
  <si>
    <t>YG1836302</t>
  </si>
  <si>
    <t>Md Saiful Islam</t>
  </si>
  <si>
    <t>A07763328</t>
  </si>
  <si>
    <t>29/04/2033</t>
  </si>
  <si>
    <t>HR/Administrative</t>
  </si>
  <si>
    <t>Ahmed Mohamed Hassan Ahmed</t>
  </si>
  <si>
    <t>General Supervisor</t>
  </si>
  <si>
    <t>A33593243</t>
  </si>
  <si>
    <t>29/03/2030</t>
  </si>
  <si>
    <t>department</t>
  </si>
  <si>
    <t>SID monthly expense</t>
  </si>
  <si>
    <t>FFI-BOD-CEO-HO</t>
  </si>
  <si>
    <t>Supervisor</t>
  </si>
  <si>
    <t>Emad Mahmoud Tawfik Hassan</t>
  </si>
  <si>
    <t>HSE Manager</t>
  </si>
  <si>
    <t>A40738160</t>
  </si>
  <si>
    <t xml:space="preserve">Ahmed Abdelhay Hassan Mohammed </t>
  </si>
  <si>
    <t>Information Technology</t>
  </si>
  <si>
    <t>A34899127</t>
  </si>
  <si>
    <t>26/08/2030</t>
  </si>
  <si>
    <t>Finance / Accounting Department</t>
  </si>
  <si>
    <t>(CEO)</t>
  </si>
  <si>
    <t>HR Department</t>
  </si>
  <si>
    <t>(Projects Department)</t>
  </si>
  <si>
    <t>(Operations Department)</t>
  </si>
  <si>
    <t>(HSE Department)</t>
  </si>
  <si>
    <t>(IT Department)</t>
  </si>
  <si>
    <t>Mohammed Salman Mohammed Sohrab khan</t>
  </si>
  <si>
    <t>17/01/2026</t>
  </si>
  <si>
    <t>30/01/2026</t>
  </si>
  <si>
    <t>14/01/2026</t>
  </si>
  <si>
    <t>25/10/2025</t>
  </si>
  <si>
    <t>18/03/2026</t>
  </si>
  <si>
    <t>25/01/2026</t>
  </si>
  <si>
    <t>13/10/2025</t>
  </si>
  <si>
    <t>14/02/2026</t>
  </si>
  <si>
    <t>30/11/2026</t>
  </si>
  <si>
    <t>Mahmoud saber Helal Khalil</t>
  </si>
  <si>
    <t>Civil Engineer</t>
  </si>
  <si>
    <t>11/15//1994</t>
  </si>
  <si>
    <t>AHMED SAMY NAGUIEB QESHTA</t>
  </si>
  <si>
    <t>A38291687</t>
  </si>
  <si>
    <t>15/07/2031</t>
  </si>
  <si>
    <t xml:space="preserve">AHMED ALAAELDIN ABDELMONEM MOHAMED </t>
  </si>
  <si>
    <t>QC Engineer</t>
  </si>
  <si>
    <t>A40938725</t>
  </si>
  <si>
    <t>RIAZ HUSSAIN MUHAMMAD ASLEM</t>
  </si>
  <si>
    <t>QS Engineer</t>
  </si>
  <si>
    <t>Y4868036</t>
  </si>
  <si>
    <t xml:space="preserve">JUNAID UDDIN MOHAMED </t>
  </si>
  <si>
    <t>W029656</t>
  </si>
  <si>
    <t>MOHAMED MOAWIA MOHAMED ALI</t>
  </si>
  <si>
    <t>P10757326</t>
  </si>
  <si>
    <t>AHMED MAHMOUD MAHMOUD ELZONKOLY</t>
  </si>
  <si>
    <t>A39511203</t>
  </si>
  <si>
    <t>ALI MOHAMED ALGHOUL</t>
  </si>
  <si>
    <t>Lebanon</t>
  </si>
  <si>
    <t>LR3139631</t>
  </si>
  <si>
    <t>MD JULFIKER ALI</t>
  </si>
  <si>
    <t>A00348440</t>
  </si>
  <si>
    <t>A33940022</t>
  </si>
  <si>
    <t>MOHAMED AFSER</t>
  </si>
  <si>
    <t>QA/QC Engineer</t>
  </si>
  <si>
    <t>V1581584</t>
  </si>
  <si>
    <t>ESLAM ASHRAF RAAFAT YOUSSEF</t>
  </si>
  <si>
    <t>Purchasing Manager</t>
  </si>
  <si>
    <t>A39106471</t>
  </si>
  <si>
    <t>Purchases</t>
  </si>
  <si>
    <t>Rami Ismail Shaker Ismail</t>
  </si>
  <si>
    <t>Contracts Engineer</t>
  </si>
  <si>
    <t>P56984557</t>
  </si>
  <si>
    <t>SALMAN FATHY SALMAN ABDELRAHMAN</t>
  </si>
  <si>
    <t>Mechanical Engineer</t>
  </si>
  <si>
    <t>A38452251</t>
  </si>
  <si>
    <t>SHERIF HAMED MOHAMED HAMED</t>
  </si>
  <si>
    <t>A42114493</t>
  </si>
  <si>
    <t>Jordanian</t>
  </si>
  <si>
    <t>MOHAMED  ABDALLA IBRAHIM HASSAN</t>
  </si>
  <si>
    <t>A34131571</t>
  </si>
  <si>
    <t xml:space="preserve">Ahmed Mohamed Al Khathami </t>
  </si>
  <si>
    <t>Saudi Arabia</t>
  </si>
  <si>
    <t>HSE Engineer</t>
  </si>
  <si>
    <t>A23456288</t>
  </si>
  <si>
    <t>28/08/2034</t>
  </si>
  <si>
    <t>ESSAM EFFAT ISMAIL KAMEL</t>
  </si>
  <si>
    <t>Mohamed Samy Al Ansari</t>
  </si>
  <si>
    <t>Muhammad Al-Samual Hashim</t>
  </si>
  <si>
    <t xml:space="preserve">Nationality </t>
  </si>
  <si>
    <t>AHMED KINAWY ELNAGGAR REHAIM</t>
  </si>
  <si>
    <t xml:space="preserve"> ID</t>
  </si>
  <si>
    <t xml:space="preserve"> ID Expiry</t>
  </si>
  <si>
    <t>accountant / Accounting Department</t>
  </si>
  <si>
    <t xml:space="preserve">JOB OFFER </t>
  </si>
  <si>
    <t>JOUD MANSOUR ALTEWAIRGI</t>
  </si>
  <si>
    <t>HR</t>
  </si>
  <si>
    <t>16/11/2025</t>
  </si>
  <si>
    <t>19/04/1451</t>
  </si>
  <si>
    <t>23/06/1998</t>
  </si>
  <si>
    <t>HR  Department</t>
  </si>
  <si>
    <t xml:space="preserve">HASSAN MOHAMED MOHAMED ISSA </t>
  </si>
  <si>
    <t xml:space="preserve">Workshop Worker </t>
  </si>
  <si>
    <t>A40463423</t>
  </si>
  <si>
    <t>14/01/2032</t>
  </si>
  <si>
    <t>20/09/2025</t>
  </si>
  <si>
    <t>21/06/2026</t>
  </si>
  <si>
    <t xml:space="preserve">(Projects Department) </t>
  </si>
  <si>
    <t xml:space="preserve">khaled mohamed ibrahim hashem elsteiha </t>
  </si>
  <si>
    <t>Electronics Engineer</t>
  </si>
  <si>
    <t>A41669489</t>
  </si>
  <si>
    <t>FFI-PROJ-HO</t>
  </si>
  <si>
    <t xml:space="preserve">SOULTAN REDA ABDELALL SOULTAN </t>
  </si>
  <si>
    <t>15/11/2024</t>
  </si>
  <si>
    <t>A39096344</t>
  </si>
  <si>
    <t xml:space="preserve">FFI-PROJ-BRF </t>
  </si>
  <si>
    <t>26/5/2025</t>
  </si>
  <si>
    <t>AHMED MOHAMED ZAKI ELRAWY</t>
  </si>
  <si>
    <t>A33519480</t>
  </si>
  <si>
    <t>17/03/2030</t>
  </si>
  <si>
    <t>FFI-PROJ-SALAM</t>
  </si>
  <si>
    <t>29/09/2025</t>
  </si>
  <si>
    <t xml:space="preserve">ESLAM SAID ELSAYED BARAKAT </t>
  </si>
  <si>
    <t>A41870938</t>
  </si>
  <si>
    <t>17/06/2032</t>
  </si>
  <si>
    <t>21/09/2024</t>
  </si>
  <si>
    <t>12/1/1669</t>
  </si>
  <si>
    <t>26/6/1986</t>
  </si>
  <si>
    <t xml:space="preserve">KHALED MOSTAFA HASSAN MOHAMED </t>
  </si>
  <si>
    <t>A40917797</t>
  </si>
  <si>
    <t>25/02/2032</t>
  </si>
  <si>
    <t>14/04/2025</t>
  </si>
  <si>
    <t>ABDELRHMAN ABDELAZIZ</t>
  </si>
  <si>
    <t>A39974647</t>
  </si>
  <si>
    <t>18/12/2031</t>
  </si>
  <si>
    <t>Blacksmith</t>
  </si>
  <si>
    <t>29/07/2025</t>
  </si>
  <si>
    <t>22/02/1990</t>
  </si>
  <si>
    <t>FATHI MOHAMED MOHAMED ABORAMADAN</t>
  </si>
  <si>
    <t>21/03/2025</t>
  </si>
  <si>
    <t>22/12/2024</t>
  </si>
  <si>
    <t>P08800951</t>
  </si>
  <si>
    <t>13/01/2032</t>
  </si>
  <si>
    <t>19/03/2025</t>
  </si>
  <si>
    <t>30/05/2025</t>
  </si>
  <si>
    <t>27/12/1987</t>
  </si>
  <si>
    <t>FAKHARALDIN MOHAMED KARAR</t>
  </si>
  <si>
    <t>MUHAMMED AHMAD MAHROUS ALY</t>
  </si>
  <si>
    <t>A37017020</t>
  </si>
  <si>
    <t>18/12/2025</t>
  </si>
  <si>
    <t>19/07/2025</t>
  </si>
  <si>
    <t>Builder worker</t>
  </si>
  <si>
    <t>MOHAMED AHMED MAHMOUD MOHAMED</t>
  </si>
  <si>
    <t>A38930709</t>
  </si>
  <si>
    <t>31/01/2025</t>
  </si>
  <si>
    <t>MOHAMED OWIS KORANI MOURSI</t>
  </si>
  <si>
    <t>A38041404</t>
  </si>
  <si>
    <t>25/06/20231</t>
  </si>
  <si>
    <t>19/12/2025</t>
  </si>
  <si>
    <t>26/07/1998</t>
  </si>
  <si>
    <t xml:space="preserve">FALSE </t>
  </si>
  <si>
    <t>Construction Worker</t>
  </si>
  <si>
    <t xml:space="preserve">MOHAMED ABDALLA IBRAHIM HASSAN </t>
  </si>
  <si>
    <t>13/07/2025</t>
  </si>
  <si>
    <t xml:space="preserve">Mechatronics Engineer </t>
  </si>
  <si>
    <t>15/10/2025</t>
  </si>
  <si>
    <t xml:space="preserve">RAYAN GHURMULLAH ALGHAMDI </t>
  </si>
  <si>
    <t>11/08/1450</t>
  </si>
  <si>
    <t>08/08/1420</t>
  </si>
  <si>
    <t>20/12/2025</t>
  </si>
  <si>
    <t xml:space="preserve">FATHI FOUAD ITANI </t>
  </si>
  <si>
    <t>17/02/1457</t>
  </si>
  <si>
    <t>FFI-CEO-HO</t>
  </si>
  <si>
    <t>11/12/1401</t>
  </si>
  <si>
    <t xml:space="preserve">Head office </t>
  </si>
  <si>
    <t xml:space="preserve">AHMED ABDULLAH AHMED ALGHAMDI </t>
  </si>
  <si>
    <t>29/05/2023</t>
  </si>
  <si>
    <t xml:space="preserve">HANAN FOUAD ITANI </t>
  </si>
  <si>
    <t xml:space="preserve">ZAHER AHMED ALGHAMDI </t>
  </si>
  <si>
    <t>06/03/1451</t>
  </si>
  <si>
    <t>15/11/1420</t>
  </si>
  <si>
    <t>ZEYAD ABDELHAMID MOHAMED ABDELRHEM</t>
  </si>
  <si>
    <t>26/07/2025</t>
  </si>
  <si>
    <t>23/05/1999</t>
  </si>
  <si>
    <t xml:space="preserve">SULTAN ALLHASSAN </t>
  </si>
  <si>
    <t>22/10/1447</t>
  </si>
  <si>
    <t>29/07/1399</t>
  </si>
  <si>
    <t xml:space="preserve">SALHA ABDULLAH AHMED ALGHAMDI </t>
  </si>
  <si>
    <t xml:space="preserve">Administrative specialist </t>
  </si>
  <si>
    <t>13/10/2026</t>
  </si>
  <si>
    <t>10/03/1401</t>
  </si>
  <si>
    <t xml:space="preserve">Contract Expiry Date </t>
  </si>
  <si>
    <t xml:space="preserve"> Joining Date</t>
  </si>
  <si>
    <t xml:space="preserve">Contract date </t>
  </si>
  <si>
    <t>20/12/2026</t>
  </si>
  <si>
    <t>Hossam Mohamed El-Shahat El-Sayed</t>
  </si>
  <si>
    <t>16/03/2025</t>
  </si>
  <si>
    <t>15/03/2026</t>
  </si>
  <si>
    <t>A39409656</t>
  </si>
  <si>
    <t>30/10/2026</t>
  </si>
  <si>
    <t>16/1/2025</t>
  </si>
  <si>
    <t>15/1/2026</t>
  </si>
  <si>
    <t>16/09/2026</t>
  </si>
  <si>
    <t>20/10/2025</t>
  </si>
  <si>
    <t>21/10/2025</t>
  </si>
  <si>
    <t>20/10/2026</t>
  </si>
  <si>
    <t>A39676877</t>
  </si>
  <si>
    <t>25/2/2025</t>
  </si>
  <si>
    <t>24/2/2026</t>
  </si>
  <si>
    <t>28/05/2026</t>
  </si>
  <si>
    <t xml:space="preserve">YASAMYAN MUID ALZAHRANI </t>
  </si>
  <si>
    <t>Administrative Assistant</t>
  </si>
  <si>
    <t>27/08/2027</t>
  </si>
  <si>
    <t>19/08/1986</t>
  </si>
  <si>
    <t>24/11/2024</t>
  </si>
  <si>
    <t>24/11/2025</t>
  </si>
  <si>
    <t>23/11/2026</t>
  </si>
  <si>
    <t>17/4/2029</t>
  </si>
  <si>
    <t xml:space="preserve">Employee number </t>
  </si>
  <si>
    <t>30/06/2025</t>
  </si>
  <si>
    <t>22/7/2024</t>
  </si>
  <si>
    <t>15/10/2026</t>
  </si>
  <si>
    <t>21/11/2024</t>
  </si>
  <si>
    <t>15/1/2025</t>
  </si>
  <si>
    <t>14/1/2026</t>
  </si>
  <si>
    <t>16/12/2024</t>
  </si>
  <si>
    <t xml:space="preserve">ABDULLAH ABDULWAHAB ALSHEHRI </t>
  </si>
  <si>
    <t>27/8/2031</t>
  </si>
  <si>
    <t>27/07/2024</t>
  </si>
  <si>
    <t>22/9/2025</t>
  </si>
  <si>
    <t>21/9/2026</t>
  </si>
  <si>
    <t>28/10/2024</t>
  </si>
  <si>
    <t>21/12/2025</t>
  </si>
  <si>
    <t>19/9/2026</t>
  </si>
  <si>
    <t>13/10/2024</t>
  </si>
  <si>
    <t>27/12/2024</t>
  </si>
  <si>
    <t>23/10/2025</t>
  </si>
  <si>
    <t>22/10/2026</t>
  </si>
  <si>
    <t>16/10/2025</t>
  </si>
  <si>
    <t>14/10/2024</t>
  </si>
  <si>
    <t xml:space="preserve">NZME AHMED ABO ALHMAEL </t>
  </si>
  <si>
    <t>RL4136263</t>
  </si>
  <si>
    <t>16/02/2024</t>
  </si>
  <si>
    <t>15/9/2023</t>
  </si>
  <si>
    <t>15/9/2025</t>
  </si>
  <si>
    <t>14/9/2026</t>
  </si>
  <si>
    <t>19/1/2025</t>
  </si>
  <si>
    <t>18/1/2026</t>
  </si>
  <si>
    <t>14/10/2025</t>
  </si>
  <si>
    <t>23/11/2025</t>
  </si>
  <si>
    <t>22/11/2026</t>
  </si>
  <si>
    <t>14/10/2026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</si>
</sst>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d/mmm/yyyy;@"/>
    <numFmt numFmtId="165" formatCode="_(* #,##0_);_(* \(#,##0\);_(* &quot;-&quot;??_);_(@_)"/>
  </numFmts>
  <fonts count="17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8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0">
    <xf numFmtId="0" fontId="0" fillId="0" borderId="0" xfId="0"/>
    <xf numFmtId="0" fontId="0" fillId="0" borderId="0" xfId="0" applyAlignment="1">
      <alignment horizontal="left"/>
    </xf>
    <xf numFmtId="0" fontId="14" fillId="0" borderId="0" xfId="0" applyFont="1" applyAlignment="1">
      <alignment horizontal="left"/>
    </xf>
    <xf numFmtId="164" fontId="0" fillId="0" borderId="0" xfId="0" applyNumberFormat="1" applyAlignment="1">
      <alignment horizontal="left"/>
    </xf>
    <xf numFmtId="0" fontId="13" fillId="0" borderId="0" xfId="0" applyFont="1" applyAlignment="1">
      <alignment horizontal="left"/>
    </xf>
    <xf numFmtId="14" fontId="0" fillId="0" borderId="0" xfId="0" applyNumberFormat="1" applyAlignment="1">
      <alignment horizontal="left"/>
    </xf>
    <xf numFmtId="0" fontId="12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10" fillId="0" borderId="0" xfId="0" applyFont="1" applyAlignment="1">
      <alignment horizontal="left"/>
    </xf>
    <xf numFmtId="0" fontId="0" fillId="0" borderId="2" xfId="0" applyBorder="1" applyAlignment="1">
      <alignment horizontal="left"/>
    </xf>
    <xf numFmtId="164" fontId="7" fillId="0" borderId="0" xfId="0" applyNumberFormat="1" applyFont="1" applyAlignment="1">
      <alignment horizontal="left"/>
    </xf>
    <xf numFmtId="0" fontId="7" fillId="0" borderId="0" xfId="0" applyFont="1" applyAlignment="1">
      <alignment horizontal="left"/>
    </xf>
    <xf numFmtId="14" fontId="7" fillId="0" borderId="0" xfId="0" applyNumberFormat="1" applyFont="1" applyAlignment="1">
      <alignment horizontal="left"/>
    </xf>
    <xf numFmtId="15" fontId="0" fillId="0" borderId="0" xfId="0" applyNumberFormat="1" applyAlignment="1">
      <alignment horizontal="left"/>
    </xf>
    <xf numFmtId="0" fontId="15" fillId="2" borderId="3" xfId="0" applyFont="1" applyFill="1" applyBorder="1" applyAlignment="1">
      <alignment horizontal="left"/>
    </xf>
    <xf numFmtId="0" fontId="15" fillId="2" borderId="1" xfId="0" applyFont="1" applyFill="1" applyBorder="1" applyAlignment="1">
      <alignment horizontal="left"/>
    </xf>
    <xf numFmtId="0" fontId="6" fillId="0" borderId="0" xfId="0" applyFont="1" applyAlignment="1">
      <alignment horizontal="left"/>
    </xf>
    <xf numFmtId="165" fontId="15" fillId="2" borderId="1" xfId="0" applyNumberFormat="1" applyFont="1" applyFill="1" applyBorder="1" applyAlignment="1">
      <alignment horizontal="left"/>
    </xf>
    <xf numFmtId="165" fontId="0" fillId="0" borderId="0" xfId="0" applyNumberFormat="1" applyAlignment="1">
      <alignment horizontal="left"/>
    </xf>
    <xf numFmtId="0" fontId="0" fillId="3" borderId="2" xfId="0" applyFill="1" applyBorder="1" applyAlignment="1">
      <alignment horizontal="left"/>
    </xf>
    <xf numFmtId="0" fontId="14" fillId="3" borderId="2" xfId="0" applyFont="1" applyFill="1" applyBorder="1" applyAlignment="1">
      <alignment horizontal="left"/>
    </xf>
    <xf numFmtId="0" fontId="7" fillId="3" borderId="2" xfId="0" applyFont="1" applyFill="1" applyBorder="1" applyAlignment="1">
      <alignment horizontal="left"/>
    </xf>
    <xf numFmtId="0" fontId="9" fillId="3" borderId="2" xfId="0" applyFont="1" applyFill="1" applyBorder="1" applyAlignment="1">
      <alignment horizontal="left"/>
    </xf>
    <xf numFmtId="0" fontId="14" fillId="4" borderId="2" xfId="0" applyFont="1" applyFill="1" applyBorder="1" applyAlignment="1">
      <alignment horizontal="left"/>
    </xf>
    <xf numFmtId="0" fontId="3" fillId="4" borderId="2" xfId="0" applyFont="1" applyFill="1" applyBorder="1" applyAlignment="1">
      <alignment horizontal="left"/>
    </xf>
    <xf numFmtId="0" fontId="11" fillId="4" borderId="2" xfId="0" applyFont="1" applyFill="1" applyBorder="1" applyAlignment="1">
      <alignment horizontal="left"/>
    </xf>
    <xf numFmtId="0" fontId="8" fillId="4" borderId="2" xfId="0" applyFont="1" applyFill="1" applyBorder="1" applyAlignment="1">
      <alignment horizontal="left"/>
    </xf>
    <xf numFmtId="0" fontId="10" fillId="4" borderId="2" xfId="0" applyFont="1" applyFill="1" applyBorder="1" applyAlignment="1">
      <alignment horizontal="left"/>
    </xf>
    <xf numFmtId="0" fontId="0" fillId="4" borderId="2" xfId="0" applyFill="1" applyBorder="1" applyAlignment="1">
      <alignment horizontal="left"/>
    </xf>
    <xf numFmtId="0" fontId="7" fillId="4" borderId="2" xfId="0" applyFont="1" applyFill="1" applyBorder="1" applyAlignment="1">
      <alignment horizontal="left"/>
    </xf>
    <xf numFmtId="0" fontId="4" fillId="4" borderId="2" xfId="0" applyFont="1" applyFill="1" applyBorder="1" applyAlignment="1">
      <alignment horizontal="left"/>
    </xf>
    <xf numFmtId="0" fontId="5" fillId="4" borderId="2" xfId="0" applyFont="1" applyFill="1" applyBorder="1" applyAlignment="1">
      <alignment horizontal="left"/>
    </xf>
    <xf numFmtId="0" fontId="2" fillId="0" borderId="0" xfId="0" applyFont="1" applyAlignment="1">
      <alignment horizontal="left"/>
    </xf>
    <xf numFmtId="0" fontId="15" fillId="2" borderId="4" xfId="0" applyFont="1" applyFill="1" applyBorder="1" applyAlignment="1">
      <alignment horizontal="left"/>
    </xf>
    <xf numFmtId="0" fontId="15" fillId="2" borderId="5" xfId="0" applyFont="1" applyFill="1" applyBorder="1" applyAlignment="1">
      <alignment horizontal="left"/>
    </xf>
    <xf numFmtId="0" fontId="15" fillId="2" borderId="2" xfId="0" applyFont="1" applyFill="1" applyBorder="1" applyAlignment="1">
      <alignment horizontal="left"/>
    </xf>
    <xf numFmtId="14" fontId="0" fillId="2" borderId="2" xfId="0" applyNumberFormat="1" applyFill="1" applyBorder="1" applyAlignment="1">
      <alignment horizontal="left"/>
    </xf>
    <xf numFmtId="0" fontId="0" fillId="2" borderId="2" xfId="0" applyFill="1" applyBorder="1" applyAlignment="1">
      <alignment horizontal="left"/>
    </xf>
    <xf numFmtId="164" fontId="0" fillId="2" borderId="2" xfId="0" applyNumberFormat="1" applyFill="1" applyBorder="1" applyAlignment="1">
      <alignment horizontal="left"/>
    </xf>
    <xf numFmtId="0" fontId="0" fillId="5" borderId="0" xfId="0" applyFill="1" applyAlignment="1">
      <alignment horizontal="left"/>
    </xf>
    <xf numFmtId="0" fontId="7" fillId="5" borderId="0" xfId="0" applyFont="1" applyFill="1" applyAlignment="1">
      <alignment horizontal="left"/>
    </xf>
    <xf numFmtId="0" fontId="2" fillId="5" borderId="0" xfId="0" applyFont="1" applyFill="1" applyAlignment="1">
      <alignment horizontal="left"/>
    </xf>
    <xf numFmtId="14" fontId="0" fillId="5" borderId="0" xfId="0" applyNumberFormat="1" applyFill="1" applyAlignment="1">
      <alignment horizontal="left"/>
    </xf>
    <xf numFmtId="0" fontId="0" fillId="5" borderId="2" xfId="0" applyFill="1" applyBorder="1" applyAlignment="1">
      <alignment horizontal="left"/>
    </xf>
    <xf numFmtId="165" fontId="0" fillId="5" borderId="0" xfId="0" applyNumberFormat="1" applyFill="1" applyAlignment="1">
      <alignment horizontal="left"/>
    </xf>
    <xf numFmtId="0" fontId="0" fillId="3" borderId="0" xfId="0" applyFill="1" applyAlignment="1">
      <alignment horizontal="left"/>
    </xf>
    <xf numFmtId="0" fontId="1" fillId="0" borderId="0" xfId="0" applyFont="1" applyAlignment="1">
      <alignment horizontal="left"/>
    </xf>
    <xf numFmtId="3" fontId="0" fillId="0" borderId="0" xfId="0" applyNumberFormat="1" applyAlignment="1">
      <alignment horizontal="left"/>
    </xf>
    <xf numFmtId="14" fontId="1" fillId="0" borderId="0" xfId="0" applyNumberFormat="1" applyFont="1" applyAlignment="1">
      <alignment horizontal="left"/>
    </xf>
    <xf numFmtId="14" fontId="1" fillId="2" borderId="2" xfId="0" applyNumberFormat="1" applyFont="1" applyFill="1" applyBorder="1" applyAlignment="1">
      <alignment horizontal="left"/>
    </xf>
    <xf numFmtId="0" fontId="1" fillId="2" borderId="0" xfId="0" applyFont="1" applyFill="1" applyAlignment="1">
      <alignment horizontal="left"/>
    </xf>
    <xf numFmtId="14" fontId="0" fillId="5" borderId="2" xfId="0" applyNumberFormat="1" applyFill="1" applyBorder="1" applyAlignment="1">
      <alignment horizontal="left"/>
    </xf>
    <xf numFmtId="0" fontId="1" fillId="2" borderId="2" xfId="0" applyFont="1" applyFill="1" applyBorder="1" applyAlignment="1">
      <alignment horizontal="left"/>
    </xf>
    <xf numFmtId="164" fontId="1" fillId="2" borderId="2" xfId="0" applyNumberFormat="1" applyFont="1" applyFill="1" applyBorder="1" applyAlignment="1">
      <alignment horizontal="left"/>
    </xf>
    <xf numFmtId="164" fontId="1" fillId="0" borderId="0" xfId="0" applyNumberFormat="1" applyFont="1" applyAlignment="1">
      <alignment horizontal="left"/>
    </xf>
    <xf numFmtId="0" fontId="0" fillId="6" borderId="0" xfId="0" applyFill="1" applyAlignment="1">
      <alignment horizontal="left"/>
    </xf>
    <xf numFmtId="0" fontId="15" fillId="2" borderId="6" xfId="0" applyFont="1" applyFill="1" applyBorder="1" applyAlignment="1">
      <alignment horizontal="left"/>
    </xf>
    <xf numFmtId="0" fontId="0" fillId="0" borderId="7" xfId="0" applyBorder="1" applyAlignment="1">
      <alignment horizontal="left"/>
    </xf>
    <xf numFmtId="0" fontId="14" fillId="4" borderId="7" xfId="0" applyFont="1" applyFill="1" applyBorder="1" applyAlignment="1">
      <alignment horizontal="left"/>
    </xf>
    <xf numFmtId="0" fontId="3" fillId="4" borderId="7" xfId="0" applyFont="1" applyFill="1" applyBorder="1" applyAlignment="1">
      <alignment horizontal="left"/>
    </xf>
    <xf numFmtId="0" fontId="11" fillId="4" borderId="7" xfId="0" applyFont="1" applyFill="1" applyBorder="1" applyAlignment="1">
      <alignment horizontal="left"/>
    </xf>
    <xf numFmtId="0" fontId="8" fillId="4" borderId="7" xfId="0" applyFont="1" applyFill="1" applyBorder="1" applyAlignment="1">
      <alignment horizontal="left"/>
    </xf>
    <xf numFmtId="0" fontId="10" fillId="4" borderId="7" xfId="0" applyFont="1" applyFill="1" applyBorder="1" applyAlignment="1">
      <alignment horizontal="left"/>
    </xf>
    <xf numFmtId="0" fontId="0" fillId="4" borderId="7" xfId="0" applyFill="1" applyBorder="1" applyAlignment="1">
      <alignment horizontal="left"/>
    </xf>
    <xf numFmtId="0" fontId="7" fillId="4" borderId="7" xfId="0" applyFont="1" applyFill="1" applyBorder="1" applyAlignment="1">
      <alignment horizontal="left"/>
    </xf>
    <xf numFmtId="0" fontId="4" fillId="4" borderId="7" xfId="0" applyFont="1" applyFill="1" applyBorder="1" applyAlignment="1">
      <alignment horizontal="left"/>
    </xf>
    <xf numFmtId="0" fontId="5" fillId="4" borderId="7" xfId="0" applyFont="1" applyFill="1" applyBorder="1" applyAlignment="1">
      <alignment horizontal="left"/>
    </xf>
    <xf numFmtId="0" fontId="2" fillId="0" borderId="2" xfId="0" applyFont="1" applyBorder="1" applyAlignment="1">
      <alignment horizontal="left"/>
    </xf>
    <xf numFmtId="0" fontId="1" fillId="0" borderId="2" xfId="0" applyFont="1" applyBorder="1" applyAlignment="1">
      <alignment horizontal="left"/>
    </xf>
    <xf numFmtId="164" fontId="0" fillId="7" borderId="0" xfId="0" applyNumberFormat="1" applyFill="1" applyAlignment="1">
      <alignment horizontal="left"/>
    </xf>
  </cellXfs>
  <cellStyles count="1">
    <cellStyle name="Normal" xfId="0" builtinId="0"/>
  </cellStyles>
  <dxfs count="10">
    <dxf>
      <font>
        <b/>
        <i/>
        <color rgb="FFFF0000"/>
      </font>
    </dxf>
    <dxf>
      <font>
        <b/>
        <i/>
        <color rgb="FFFF0000"/>
      </font>
    </dxf>
    <dxf>
      <font>
        <b/>
        <i/>
        <color rgb="FFFF0000"/>
      </font>
    </dxf>
    <dxf>
      <font>
        <b/>
        <i/>
        <color rgb="FFFF0000"/>
      </font>
    </dxf>
    <dxf>
      <font>
        <b/>
        <i/>
        <color rgb="FFFF0000"/>
      </font>
    </dxf>
    <dxf>
      <font>
        <color rgb="FFFF0000"/>
      </font>
    </dxf>
    <dxf>
      <font>
        <color rgb="FFFF0000"/>
      </font>
    </dxf>
    <dxf>
      <font>
        <b/>
        <i/>
        <color rgb="FFFF0000"/>
      </font>
    </dxf>
    <dxf>
      <font>
        <color rgb="FFFF0000"/>
      </font>
    </dxf>
    <dxf>
      <font>
        <b/>
        <i/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D55"/>
  <sheetViews>
    <sheetView tabSelected="1" zoomScale="106" zoomScaleNormal="106" workbookViewId="0">
      <pane xSplit="1" ySplit="1" topLeftCell="J2" activePane="bottomRight" state="frozen"/>
      <selection pane="topRight" activeCell="B1" sqref="B1"/>
      <selection pane="bottomLeft" activeCell="A2" sqref="A2"/>
      <selection pane="bottomRight" activeCell="L30" sqref="L30"/>
    </sheetView>
  </sheetViews>
  <sheetFormatPr defaultColWidth="14.44140625" defaultRowHeight="15" customHeight="1" x14ac:dyDescent="0.3"/>
  <cols>
    <col min="1" max="1" width="40.5546875" style="1" bestFit="1" customWidth="1"/>
    <col min="2" max="2" width="40.5546875" style="9" customWidth="1"/>
    <col min="3" max="3" width="17.6640625" style="1" bestFit="1" customWidth="1"/>
    <col min="4" max="4" width="29.5546875" style="1" bestFit="1" customWidth="1"/>
    <col min="5" max="5" width="17.33203125" style="1" bestFit="1" customWidth="1"/>
    <col min="6" max="6" width="15.6640625" style="1" bestFit="1" customWidth="1"/>
    <col min="7" max="7" width="12" style="1" bestFit="1" customWidth="1"/>
    <col min="8" max="8" width="15.109375" style="1" bestFit="1" customWidth="1"/>
    <col min="9" max="9" width="16.109375" style="1" customWidth="1"/>
    <col min="10" max="10" width="22.33203125" style="1" bestFit="1" customWidth="1"/>
    <col min="11" max="11" width="22.6640625" style="1" bestFit="1" customWidth="1"/>
    <col min="12" max="12" width="20.77734375" style="37" bestFit="1" customWidth="1"/>
    <col min="13" max="13" width="20.77734375" style="37" customWidth="1"/>
    <col min="14" max="14" width="17.77734375" style="1" bestFit="1" customWidth="1"/>
    <col min="15" max="15" width="12.77734375" style="1" bestFit="1" customWidth="1"/>
    <col min="16" max="16" width="18.21875" style="1" bestFit="1" customWidth="1"/>
    <col min="17" max="17" width="16" style="1" bestFit="1" customWidth="1"/>
    <col min="18" max="18" width="14.44140625" style="1" bestFit="1" customWidth="1"/>
    <col min="19" max="19" width="15.6640625" style="1" customWidth="1"/>
    <col min="20" max="20" width="24.5546875" style="1" bestFit="1" customWidth="1"/>
    <col min="21" max="21" width="25.88671875" style="1" bestFit="1" customWidth="1"/>
    <col min="22" max="22" width="20.88671875" style="1" bestFit="1" customWidth="1"/>
    <col min="23" max="23" width="17.109375" style="1" bestFit="1" customWidth="1"/>
    <col min="24" max="24" width="16.88671875" style="1" bestFit="1" customWidth="1"/>
    <col min="25" max="25" width="12.77734375" style="1" bestFit="1" customWidth="1"/>
    <col min="26" max="26" width="15.6640625" style="1" bestFit="1" customWidth="1"/>
    <col min="27" max="27" width="17.88671875" style="1" bestFit="1" customWidth="1"/>
    <col min="28" max="28" width="28.5546875" style="1" bestFit="1" customWidth="1"/>
    <col min="29" max="29" width="19.21875" style="18" bestFit="1" customWidth="1"/>
    <col min="30" max="30" width="8.5546875" style="1" bestFit="1" customWidth="1"/>
    <col min="31" max="16384" width="14.44140625" style="1"/>
  </cols>
  <sheetData>
    <row r="1" spans="1:29" ht="14.4" x14ac:dyDescent="0.3">
      <c r="A1" s="56" t="s">
        <v>0</v>
      </c>
      <c r="B1" s="35" t="s">
        <v>329</v>
      </c>
      <c r="C1" s="34" t="s">
        <v>200</v>
      </c>
      <c r="D1" s="15" t="s">
        <v>2</v>
      </c>
      <c r="E1" s="15" t="s">
        <v>3</v>
      </c>
      <c r="F1" s="15" t="s">
        <v>4</v>
      </c>
      <c r="G1" s="15" t="s">
        <v>202</v>
      </c>
      <c r="H1" s="15" t="s">
        <v>203</v>
      </c>
      <c r="I1" s="15" t="s">
        <v>17</v>
      </c>
      <c r="J1" s="15" t="s">
        <v>205</v>
      </c>
      <c r="K1" s="33" t="s">
        <v>303</v>
      </c>
      <c r="L1" s="35" t="s">
        <v>304</v>
      </c>
      <c r="M1" s="35" t="s">
        <v>302</v>
      </c>
      <c r="N1" s="34" t="s">
        <v>22</v>
      </c>
      <c r="O1" s="15" t="s">
        <v>6</v>
      </c>
      <c r="P1" s="15" t="s">
        <v>7</v>
      </c>
      <c r="Q1" s="15" t="s">
        <v>8</v>
      </c>
      <c r="R1" s="15" t="s">
        <v>51</v>
      </c>
      <c r="S1" s="15" t="s">
        <v>9</v>
      </c>
      <c r="T1" s="15" t="s">
        <v>11</v>
      </c>
      <c r="U1" s="15" t="s">
        <v>12</v>
      </c>
      <c r="V1" s="15" t="s">
        <v>13</v>
      </c>
      <c r="W1" s="15" t="s">
        <v>45</v>
      </c>
      <c r="X1" s="15" t="s">
        <v>14</v>
      </c>
      <c r="Y1" s="15" t="s">
        <v>15</v>
      </c>
      <c r="Z1" s="15" t="s">
        <v>16</v>
      </c>
      <c r="AA1" s="15" t="s">
        <v>23</v>
      </c>
      <c r="AB1" s="15" t="s">
        <v>122</v>
      </c>
      <c r="AC1" s="17" t="s">
        <v>123</v>
      </c>
    </row>
    <row r="2" spans="1:29" ht="15" customHeight="1" x14ac:dyDescent="0.3">
      <c r="A2" s="57" t="s">
        <v>101</v>
      </c>
      <c r="C2" s="1" t="s">
        <v>24</v>
      </c>
      <c r="D2" s="1" t="s">
        <v>102</v>
      </c>
      <c r="E2" s="1" t="s">
        <v>103</v>
      </c>
      <c r="F2" s="5">
        <v>47004</v>
      </c>
      <c r="G2" s="1">
        <v>2147769117</v>
      </c>
      <c r="H2" s="3">
        <v>47124</v>
      </c>
      <c r="I2" s="3">
        <v>25934</v>
      </c>
      <c r="J2" s="3">
        <v>45870</v>
      </c>
      <c r="K2" s="3">
        <v>45870</v>
      </c>
      <c r="L2" s="36">
        <v>45647</v>
      </c>
      <c r="M2" s="36">
        <v>46376</v>
      </c>
      <c r="N2" s="1" t="s">
        <v>124</v>
      </c>
      <c r="O2" s="10"/>
      <c r="P2" s="3">
        <v>46319</v>
      </c>
      <c r="Q2" s="1">
        <v>540356371</v>
      </c>
      <c r="R2" s="1" t="s">
        <v>84</v>
      </c>
      <c r="S2" s="1">
        <v>0</v>
      </c>
      <c r="Y2" s="1">
        <f>SUM(S2:X2)</f>
        <v>0</v>
      </c>
      <c r="AA2" s="1" t="b">
        <v>0</v>
      </c>
      <c r="AB2" t="s">
        <v>134</v>
      </c>
      <c r="AC2" s="18">
        <v>0</v>
      </c>
    </row>
    <row r="3" spans="1:29" ht="15" customHeight="1" x14ac:dyDescent="0.3">
      <c r="A3" s="57" t="s">
        <v>96</v>
      </c>
      <c r="C3" s="1" t="s">
        <v>24</v>
      </c>
      <c r="D3" s="1" t="s">
        <v>97</v>
      </c>
      <c r="E3" s="1" t="s">
        <v>98</v>
      </c>
      <c r="F3" s="1" t="s">
        <v>99</v>
      </c>
      <c r="G3" s="1">
        <v>2596808192</v>
      </c>
      <c r="H3" s="3">
        <v>46001</v>
      </c>
      <c r="I3" s="3">
        <v>31174</v>
      </c>
      <c r="J3" s="3">
        <v>45870</v>
      </c>
      <c r="K3" s="54" t="s">
        <v>346</v>
      </c>
      <c r="L3" s="52" t="s">
        <v>347</v>
      </c>
      <c r="M3" s="52" t="s">
        <v>348</v>
      </c>
      <c r="N3" s="1" t="s">
        <v>104</v>
      </c>
      <c r="O3" s="10">
        <v>45955</v>
      </c>
      <c r="P3" s="3">
        <v>46319</v>
      </c>
      <c r="Q3" s="1">
        <v>559905975</v>
      </c>
      <c r="R3" s="1" t="s">
        <v>84</v>
      </c>
      <c r="S3" s="1">
        <v>6000</v>
      </c>
      <c r="Y3" s="1">
        <f>SUM(S3:X3)</f>
        <v>6000</v>
      </c>
      <c r="AA3" s="1" t="b">
        <v>0</v>
      </c>
      <c r="AB3" s="1" t="s">
        <v>133</v>
      </c>
      <c r="AC3" s="18">
        <v>0</v>
      </c>
    </row>
    <row r="4" spans="1:29" ht="15" customHeight="1" x14ac:dyDescent="0.3">
      <c r="A4" s="58" t="s">
        <v>42</v>
      </c>
      <c r="B4" s="23"/>
      <c r="C4" s="2" t="s">
        <v>24</v>
      </c>
      <c r="D4" s="2" t="s">
        <v>43</v>
      </c>
      <c r="E4" s="1" t="s">
        <v>54</v>
      </c>
      <c r="F4" s="5">
        <v>47523</v>
      </c>
      <c r="G4" s="1">
        <v>2559186529</v>
      </c>
      <c r="H4" s="3">
        <v>45699</v>
      </c>
      <c r="I4" s="3" t="s">
        <v>56</v>
      </c>
      <c r="J4" s="3">
        <v>45870</v>
      </c>
      <c r="K4" s="3">
        <v>45541</v>
      </c>
      <c r="L4" s="49" t="s">
        <v>311</v>
      </c>
      <c r="M4" s="49" t="s">
        <v>312</v>
      </c>
      <c r="N4" s="1" t="s">
        <v>48</v>
      </c>
      <c r="O4" s="10">
        <v>45955</v>
      </c>
      <c r="P4" s="3">
        <v>46319</v>
      </c>
      <c r="Q4" s="1">
        <v>545995365</v>
      </c>
      <c r="R4" s="1" t="s">
        <v>55</v>
      </c>
      <c r="S4" s="1">
        <v>7500</v>
      </c>
      <c r="T4" s="1">
        <v>2250</v>
      </c>
      <c r="U4" s="1">
        <v>3750</v>
      </c>
      <c r="V4" s="1">
        <v>500</v>
      </c>
      <c r="X4" s="1">
        <v>1000</v>
      </c>
      <c r="Y4" s="1">
        <f>SUM(S4:X4)</f>
        <v>15000</v>
      </c>
      <c r="AA4" s="1" t="b">
        <v>0</v>
      </c>
      <c r="AB4" t="s">
        <v>137</v>
      </c>
      <c r="AC4" s="18">
        <v>1165</v>
      </c>
    </row>
    <row r="5" spans="1:29" ht="15" customHeight="1" x14ac:dyDescent="0.3">
      <c r="A5" s="59" t="s">
        <v>26</v>
      </c>
      <c r="B5" s="24"/>
      <c r="C5" s="2" t="s">
        <v>28</v>
      </c>
      <c r="D5" s="2" t="s">
        <v>33</v>
      </c>
      <c r="E5" s="1" t="s">
        <v>61</v>
      </c>
      <c r="F5" s="5">
        <v>46550</v>
      </c>
      <c r="G5" s="1">
        <v>2508040700</v>
      </c>
      <c r="H5" s="3" t="s">
        <v>142</v>
      </c>
      <c r="I5" s="3" t="s">
        <v>64</v>
      </c>
      <c r="J5" s="3">
        <v>45884</v>
      </c>
      <c r="K5" s="54" t="s">
        <v>345</v>
      </c>
      <c r="L5" s="49" t="s">
        <v>315</v>
      </c>
      <c r="M5" s="49" t="s">
        <v>316</v>
      </c>
      <c r="N5" s="1" t="s">
        <v>48</v>
      </c>
      <c r="O5" s="10">
        <v>45955</v>
      </c>
      <c r="P5" s="3">
        <v>46319</v>
      </c>
      <c r="Q5" s="1">
        <v>576256797</v>
      </c>
      <c r="R5" s="1" t="s">
        <v>84</v>
      </c>
      <c r="S5" s="1">
        <v>6000</v>
      </c>
      <c r="Y5" s="1">
        <f>SUM(S5:X5)</f>
        <v>6000</v>
      </c>
      <c r="AA5" s="1" t="b">
        <v>0</v>
      </c>
      <c r="AB5" t="s">
        <v>136</v>
      </c>
      <c r="AC5" s="18">
        <v>985</v>
      </c>
    </row>
    <row r="6" spans="1:29" ht="14.4" x14ac:dyDescent="0.3">
      <c r="A6" s="59" t="s">
        <v>199</v>
      </c>
      <c r="B6" s="24"/>
      <c r="C6" s="2" t="s">
        <v>35</v>
      </c>
      <c r="D6" s="2" t="s">
        <v>36</v>
      </c>
      <c r="E6" s="1" t="s">
        <v>75</v>
      </c>
      <c r="F6" s="5">
        <v>49559</v>
      </c>
      <c r="G6" s="1">
        <v>2563942172</v>
      </c>
      <c r="H6" s="3">
        <v>45848</v>
      </c>
      <c r="I6" s="3">
        <v>33339</v>
      </c>
      <c r="J6" s="3">
        <v>45870</v>
      </c>
      <c r="K6" s="54" t="s">
        <v>342</v>
      </c>
      <c r="L6" s="36">
        <v>45819</v>
      </c>
      <c r="M6" s="36">
        <v>46153</v>
      </c>
      <c r="N6" s="1" t="s">
        <v>48</v>
      </c>
      <c r="O6" s="10">
        <v>45955</v>
      </c>
      <c r="P6" s="3">
        <v>46319</v>
      </c>
      <c r="Q6" s="1">
        <v>571389584</v>
      </c>
      <c r="R6" s="1" t="s">
        <v>84</v>
      </c>
      <c r="S6" s="1">
        <v>8000</v>
      </c>
      <c r="T6" s="1">
        <v>1000</v>
      </c>
      <c r="U6" s="1">
        <v>1000</v>
      </c>
      <c r="Y6" s="1">
        <v>10000</v>
      </c>
      <c r="AA6" s="1" t="b">
        <v>0</v>
      </c>
      <c r="AB6" t="s">
        <v>136</v>
      </c>
      <c r="AC6" s="18">
        <v>1065</v>
      </c>
    </row>
    <row r="7" spans="1:29" ht="15" customHeight="1" x14ac:dyDescent="0.3">
      <c r="A7" s="58" t="s">
        <v>34</v>
      </c>
      <c r="B7" s="23"/>
      <c r="C7" s="2" t="s">
        <v>24</v>
      </c>
      <c r="D7" s="6" t="s">
        <v>65</v>
      </c>
      <c r="E7" s="1" t="s">
        <v>66</v>
      </c>
      <c r="F7" s="1" t="s">
        <v>67</v>
      </c>
      <c r="G7" s="1">
        <v>2590373680</v>
      </c>
      <c r="H7" s="3" t="s">
        <v>143</v>
      </c>
      <c r="I7" s="3" t="s">
        <v>68</v>
      </c>
      <c r="J7" s="3">
        <v>45883</v>
      </c>
      <c r="K7" s="3">
        <v>45637</v>
      </c>
      <c r="L7" s="36">
        <v>45780</v>
      </c>
      <c r="M7" s="36">
        <v>46115</v>
      </c>
      <c r="N7" s="1" t="s">
        <v>48</v>
      </c>
      <c r="O7" s="10">
        <v>45955</v>
      </c>
      <c r="P7" s="3">
        <v>46319</v>
      </c>
      <c r="Q7" s="1">
        <v>567614938</v>
      </c>
      <c r="R7" s="1" t="s">
        <v>84</v>
      </c>
      <c r="S7" s="1">
        <v>5000</v>
      </c>
      <c r="Y7" s="1">
        <f>SUM(S7:X7)</f>
        <v>5000</v>
      </c>
      <c r="AA7" s="1" t="b">
        <v>0</v>
      </c>
      <c r="AB7" t="s">
        <v>136</v>
      </c>
      <c r="AC7" s="18">
        <v>985</v>
      </c>
    </row>
    <row r="8" spans="1:29" ht="15" customHeight="1" x14ac:dyDescent="0.3">
      <c r="A8" s="60" t="s">
        <v>76</v>
      </c>
      <c r="B8" s="25"/>
      <c r="C8" s="7" t="s">
        <v>77</v>
      </c>
      <c r="D8" s="6" t="s">
        <v>37</v>
      </c>
      <c r="E8" s="1" t="s">
        <v>78</v>
      </c>
      <c r="F8" s="1" t="s">
        <v>79</v>
      </c>
      <c r="G8" s="1">
        <v>2578472744</v>
      </c>
      <c r="H8" s="10" t="s">
        <v>149</v>
      </c>
      <c r="I8" s="3" t="s">
        <v>80</v>
      </c>
      <c r="J8" s="3">
        <v>45892</v>
      </c>
      <c r="K8" s="3">
        <v>45963</v>
      </c>
      <c r="L8" s="38">
        <v>45963</v>
      </c>
      <c r="M8" s="38">
        <v>46327</v>
      </c>
      <c r="N8" s="1" t="s">
        <v>48</v>
      </c>
      <c r="O8" s="10">
        <v>45955</v>
      </c>
      <c r="P8" s="3">
        <v>46319</v>
      </c>
      <c r="Q8" s="1">
        <v>569394147</v>
      </c>
      <c r="R8" s="1" t="s">
        <v>84</v>
      </c>
      <c r="S8" s="1">
        <v>3000</v>
      </c>
      <c r="Y8" s="1">
        <v>2500</v>
      </c>
      <c r="AA8" s="1" t="b">
        <v>0</v>
      </c>
      <c r="AB8" t="s">
        <v>136</v>
      </c>
      <c r="AC8" s="18">
        <v>915</v>
      </c>
    </row>
    <row r="9" spans="1:29" ht="15" customHeight="1" x14ac:dyDescent="0.3">
      <c r="A9" s="61" t="s">
        <v>140</v>
      </c>
      <c r="B9" s="26"/>
      <c r="C9" s="2" t="s">
        <v>30</v>
      </c>
      <c r="D9" s="2" t="s">
        <v>40</v>
      </c>
      <c r="E9" s="1" t="s">
        <v>69</v>
      </c>
      <c r="F9" s="5">
        <v>46756</v>
      </c>
      <c r="G9" s="1">
        <v>2573758907</v>
      </c>
      <c r="H9" s="3" t="s">
        <v>144</v>
      </c>
      <c r="I9" s="3" t="s">
        <v>71</v>
      </c>
      <c r="J9" s="3">
        <v>45867</v>
      </c>
      <c r="K9" s="3" t="s">
        <v>70</v>
      </c>
      <c r="L9" s="52" t="s">
        <v>349</v>
      </c>
      <c r="M9" s="52" t="s">
        <v>332</v>
      </c>
      <c r="N9" s="1" t="s">
        <v>48</v>
      </c>
      <c r="O9" s="10">
        <v>45955</v>
      </c>
      <c r="P9" s="3">
        <v>46319</v>
      </c>
      <c r="Q9" s="1">
        <v>562657561</v>
      </c>
      <c r="R9" s="1" t="s">
        <v>84</v>
      </c>
      <c r="S9" s="1">
        <v>2500</v>
      </c>
      <c r="Y9" s="1">
        <f>SUM(S9:X9)</f>
        <v>2500</v>
      </c>
      <c r="AA9" s="1" t="b">
        <v>0</v>
      </c>
      <c r="AB9" t="s">
        <v>136</v>
      </c>
      <c r="AC9" s="18">
        <v>935</v>
      </c>
    </row>
    <row r="10" spans="1:29" ht="15" customHeight="1" x14ac:dyDescent="0.3">
      <c r="A10" s="62" t="s">
        <v>81</v>
      </c>
      <c r="B10" s="27"/>
      <c r="C10" s="8" t="s">
        <v>77</v>
      </c>
      <c r="D10" s="8" t="s">
        <v>82</v>
      </c>
      <c r="E10" s="1" t="s">
        <v>83</v>
      </c>
      <c r="F10" s="5">
        <v>46725</v>
      </c>
      <c r="G10" s="1">
        <v>2586721538</v>
      </c>
      <c r="H10" s="3" t="s">
        <v>49</v>
      </c>
      <c r="I10" s="3">
        <v>37204</v>
      </c>
      <c r="J10" s="3">
        <v>45885</v>
      </c>
      <c r="K10" s="69">
        <v>45885</v>
      </c>
      <c r="L10" s="38">
        <v>45985</v>
      </c>
      <c r="M10" s="53" t="s">
        <v>327</v>
      </c>
      <c r="N10" s="1" t="s">
        <v>48</v>
      </c>
      <c r="O10" s="10">
        <v>45955</v>
      </c>
      <c r="P10" s="3">
        <v>46319</v>
      </c>
      <c r="Q10" s="1">
        <v>549318434</v>
      </c>
      <c r="R10" s="1" t="s">
        <v>84</v>
      </c>
      <c r="S10" s="1">
        <v>2500</v>
      </c>
      <c r="Y10" s="1">
        <f>SUM(S10:X10)</f>
        <v>2500</v>
      </c>
      <c r="AA10" s="1" t="b">
        <v>0</v>
      </c>
      <c r="AB10" t="s">
        <v>136</v>
      </c>
      <c r="AC10" s="18">
        <v>915</v>
      </c>
    </row>
    <row r="11" spans="1:29" ht="15" customHeight="1" x14ac:dyDescent="0.3">
      <c r="A11" s="63" t="s">
        <v>85</v>
      </c>
      <c r="B11" s="28"/>
      <c r="C11" s="1" t="s">
        <v>77</v>
      </c>
      <c r="D11" s="1" t="s">
        <v>86</v>
      </c>
      <c r="E11" s="1" t="s">
        <v>87</v>
      </c>
      <c r="F11" s="1" t="s">
        <v>88</v>
      </c>
      <c r="G11" s="1">
        <v>2517565996</v>
      </c>
      <c r="H11" s="3" t="s">
        <v>145</v>
      </c>
      <c r="I11" s="3">
        <v>30564</v>
      </c>
      <c r="J11" s="3">
        <v>45886</v>
      </c>
      <c r="K11" s="3">
        <v>45232</v>
      </c>
      <c r="L11" s="36">
        <v>45699</v>
      </c>
      <c r="M11" s="36">
        <v>46033</v>
      </c>
      <c r="N11" s="1" t="s">
        <v>48</v>
      </c>
      <c r="O11" s="10">
        <v>45955</v>
      </c>
      <c r="P11" s="3">
        <v>46319</v>
      </c>
      <c r="Q11" s="1">
        <v>582857879</v>
      </c>
      <c r="R11" s="1" t="s">
        <v>84</v>
      </c>
      <c r="S11" s="1">
        <v>2500</v>
      </c>
      <c r="Y11" s="1">
        <v>3000</v>
      </c>
      <c r="AA11" s="1" t="b">
        <v>0</v>
      </c>
      <c r="AB11" t="s">
        <v>136</v>
      </c>
      <c r="AC11" s="18">
        <v>925</v>
      </c>
    </row>
    <row r="12" spans="1:29" ht="15" customHeight="1" x14ac:dyDescent="0.3">
      <c r="A12" s="63" t="s">
        <v>89</v>
      </c>
      <c r="B12" s="28"/>
      <c r="C12" s="1" t="s">
        <v>77</v>
      </c>
      <c r="D12" s="1" t="s">
        <v>90</v>
      </c>
      <c r="E12" s="1" t="s">
        <v>87</v>
      </c>
      <c r="F12" s="1" t="s">
        <v>88</v>
      </c>
      <c r="G12" s="55">
        <v>2110785876</v>
      </c>
      <c r="H12" s="3" t="s">
        <v>146</v>
      </c>
      <c r="I12" s="3">
        <v>45638</v>
      </c>
      <c r="J12" s="3">
        <v>45894</v>
      </c>
      <c r="K12" s="54" t="s">
        <v>331</v>
      </c>
      <c r="L12" s="38">
        <v>45946</v>
      </c>
      <c r="M12" s="53" t="s">
        <v>332</v>
      </c>
      <c r="N12" s="1" t="s">
        <v>48</v>
      </c>
      <c r="O12" s="10">
        <v>45955</v>
      </c>
      <c r="P12" s="3">
        <v>46319</v>
      </c>
      <c r="Q12" s="1">
        <v>598715221</v>
      </c>
      <c r="R12" s="1" t="s">
        <v>84</v>
      </c>
      <c r="S12" s="1">
        <v>3500</v>
      </c>
      <c r="Y12" s="1">
        <f t="shared" ref="Y12:Y21" si="0">SUM(S12:X12)</f>
        <v>3500</v>
      </c>
      <c r="AA12" s="1" t="b">
        <v>0</v>
      </c>
      <c r="AB12" t="s">
        <v>136</v>
      </c>
      <c r="AC12" s="18">
        <v>935</v>
      </c>
    </row>
    <row r="13" spans="1:29" ht="15" customHeight="1" x14ac:dyDescent="0.3">
      <c r="A13" s="63" t="s">
        <v>91</v>
      </c>
      <c r="B13" s="28"/>
      <c r="C13" s="1" t="s">
        <v>24</v>
      </c>
      <c r="D13" s="1" t="s">
        <v>92</v>
      </c>
      <c r="E13" s="1" t="s">
        <v>93</v>
      </c>
      <c r="F13" s="1" t="s">
        <v>94</v>
      </c>
      <c r="G13" s="1">
        <v>2479448603</v>
      </c>
      <c r="H13" s="3" t="s">
        <v>147</v>
      </c>
      <c r="I13" s="3">
        <v>29984</v>
      </c>
      <c r="J13" s="3">
        <v>45877</v>
      </c>
      <c r="K13" s="3">
        <v>45512</v>
      </c>
      <c r="L13" s="38">
        <v>45906</v>
      </c>
      <c r="M13" s="38">
        <v>46270</v>
      </c>
      <c r="N13" s="1" t="s">
        <v>48</v>
      </c>
      <c r="O13" s="10">
        <v>45955</v>
      </c>
      <c r="P13" s="3">
        <v>46319</v>
      </c>
      <c r="Q13" s="1">
        <v>535388829</v>
      </c>
      <c r="R13" s="1" t="s">
        <v>84</v>
      </c>
      <c r="S13" s="1">
        <v>4000</v>
      </c>
      <c r="Y13" s="1">
        <f t="shared" si="0"/>
        <v>4000</v>
      </c>
      <c r="AA13" s="1" t="b">
        <v>0</v>
      </c>
      <c r="AB13" t="s">
        <v>136</v>
      </c>
      <c r="AC13" s="18">
        <v>945</v>
      </c>
    </row>
    <row r="14" spans="1:29" ht="15" customHeight="1" x14ac:dyDescent="0.3">
      <c r="A14" s="63" t="s">
        <v>118</v>
      </c>
      <c r="B14" s="28"/>
      <c r="C14" s="1" t="s">
        <v>24</v>
      </c>
      <c r="D14" t="s">
        <v>119</v>
      </c>
      <c r="E14" s="1" t="s">
        <v>120</v>
      </c>
      <c r="F14" s="1" t="s">
        <v>121</v>
      </c>
      <c r="G14" s="1">
        <v>2546631173</v>
      </c>
      <c r="H14" s="3">
        <v>45960</v>
      </c>
      <c r="I14" s="3">
        <v>45999</v>
      </c>
      <c r="J14" s="3">
        <v>45883</v>
      </c>
      <c r="K14" s="3">
        <v>45545</v>
      </c>
      <c r="L14" s="38">
        <v>45664</v>
      </c>
      <c r="M14" s="38">
        <v>46028</v>
      </c>
      <c r="N14" s="1" t="s">
        <v>48</v>
      </c>
      <c r="O14" s="10">
        <v>45955</v>
      </c>
      <c r="P14" s="3">
        <v>46319</v>
      </c>
      <c r="Q14" s="1">
        <v>561950535</v>
      </c>
      <c r="R14" s="1" t="s">
        <v>84</v>
      </c>
      <c r="S14" s="1">
        <v>6000</v>
      </c>
      <c r="Y14" s="1">
        <f t="shared" si="0"/>
        <v>6000</v>
      </c>
      <c r="AA14" s="1" t="b">
        <v>0</v>
      </c>
      <c r="AB14" t="s">
        <v>136</v>
      </c>
      <c r="AC14" s="18">
        <v>985</v>
      </c>
    </row>
    <row r="15" spans="1:29" ht="15" customHeight="1" x14ac:dyDescent="0.3">
      <c r="A15" s="63" t="s">
        <v>126</v>
      </c>
      <c r="B15" s="28"/>
      <c r="C15" s="1" t="s">
        <v>24</v>
      </c>
      <c r="D15" s="1" t="s">
        <v>127</v>
      </c>
      <c r="E15" s="1" t="s">
        <v>128</v>
      </c>
      <c r="F15" s="5">
        <v>48336</v>
      </c>
      <c r="G15" s="1">
        <v>2603395217</v>
      </c>
      <c r="H15" s="3" t="s">
        <v>148</v>
      </c>
      <c r="I15" s="3">
        <v>30690</v>
      </c>
      <c r="J15" s="3">
        <v>45914</v>
      </c>
      <c r="K15" s="54" t="s">
        <v>330</v>
      </c>
      <c r="L15" s="38">
        <v>45845</v>
      </c>
      <c r="M15" s="53">
        <v>46209</v>
      </c>
      <c r="N15" s="1" t="s">
        <v>48</v>
      </c>
      <c r="O15" s="10">
        <v>45955</v>
      </c>
      <c r="P15" s="3">
        <v>46319</v>
      </c>
      <c r="Q15" s="1">
        <v>506970956</v>
      </c>
      <c r="R15" s="1" t="s">
        <v>84</v>
      </c>
      <c r="S15" s="1">
        <v>15000</v>
      </c>
      <c r="Y15" s="1">
        <f t="shared" si="0"/>
        <v>15000</v>
      </c>
      <c r="AA15" s="1" t="b">
        <v>0</v>
      </c>
      <c r="AB15" t="s">
        <v>138</v>
      </c>
      <c r="AC15" s="18">
        <v>1165</v>
      </c>
    </row>
    <row r="16" spans="1:29" ht="15" customHeight="1" x14ac:dyDescent="0.3">
      <c r="A16" s="64" t="s">
        <v>153</v>
      </c>
      <c r="B16" s="29"/>
      <c r="C16" s="11" t="s">
        <v>24</v>
      </c>
      <c r="D16" s="11" t="s">
        <v>151</v>
      </c>
      <c r="E16" s="11" t="s">
        <v>154</v>
      </c>
      <c r="F16" s="12" t="s">
        <v>155</v>
      </c>
      <c r="G16" s="1">
        <v>2585161538</v>
      </c>
      <c r="H16" s="3">
        <v>46067</v>
      </c>
      <c r="I16" s="3">
        <v>35540</v>
      </c>
      <c r="J16" s="3">
        <v>45962</v>
      </c>
      <c r="K16" s="3">
        <v>45505</v>
      </c>
      <c r="L16" s="53" t="s">
        <v>315</v>
      </c>
      <c r="M16" s="53" t="s">
        <v>316</v>
      </c>
      <c r="N16" s="1" t="s">
        <v>48</v>
      </c>
      <c r="O16" s="10">
        <v>45955</v>
      </c>
      <c r="P16" s="3">
        <v>46319</v>
      </c>
      <c r="Q16" s="1">
        <v>537172032</v>
      </c>
      <c r="R16" s="11" t="s">
        <v>84</v>
      </c>
      <c r="S16" s="1">
        <v>6000</v>
      </c>
      <c r="T16" s="1">
        <v>1000</v>
      </c>
      <c r="U16" s="1">
        <v>1000</v>
      </c>
      <c r="Y16" s="1">
        <f t="shared" si="0"/>
        <v>8000</v>
      </c>
      <c r="AA16" s="1" t="b">
        <v>0</v>
      </c>
      <c r="AB16" t="s">
        <v>136</v>
      </c>
      <c r="AC16" s="18">
        <v>1025</v>
      </c>
    </row>
    <row r="17" spans="1:30" ht="15" customHeight="1" x14ac:dyDescent="0.3">
      <c r="A17" s="64" t="s">
        <v>156</v>
      </c>
      <c r="B17" s="29"/>
      <c r="C17" s="11" t="s">
        <v>24</v>
      </c>
      <c r="D17" s="11" t="s">
        <v>157</v>
      </c>
      <c r="E17" s="11" t="s">
        <v>158</v>
      </c>
      <c r="F17" s="5">
        <v>48277</v>
      </c>
      <c r="G17" s="1">
        <v>2606488019</v>
      </c>
      <c r="H17" s="3">
        <v>46052</v>
      </c>
      <c r="I17" s="3">
        <v>35210</v>
      </c>
      <c r="J17" s="3">
        <v>45962</v>
      </c>
      <c r="K17" s="54">
        <v>45784</v>
      </c>
      <c r="L17" s="38">
        <v>45874</v>
      </c>
      <c r="M17" s="38">
        <v>46238</v>
      </c>
      <c r="N17" s="1" t="s">
        <v>48</v>
      </c>
      <c r="O17" s="10">
        <v>45955</v>
      </c>
      <c r="P17" s="3">
        <v>46319</v>
      </c>
      <c r="Q17" s="1">
        <v>553927748</v>
      </c>
      <c r="R17" s="11" t="s">
        <v>84</v>
      </c>
      <c r="S17" s="1">
        <v>6000</v>
      </c>
      <c r="T17" s="1">
        <v>1000</v>
      </c>
      <c r="U17" s="1">
        <v>1000</v>
      </c>
      <c r="Y17" s="1">
        <f t="shared" si="0"/>
        <v>8000</v>
      </c>
      <c r="AA17" s="1" t="b">
        <v>0</v>
      </c>
      <c r="AB17" t="s">
        <v>136</v>
      </c>
      <c r="AC17" s="18">
        <v>1025</v>
      </c>
    </row>
    <row r="18" spans="1:30" ht="15" customHeight="1" x14ac:dyDescent="0.3">
      <c r="A18" s="64" t="s">
        <v>159</v>
      </c>
      <c r="B18" s="29"/>
      <c r="C18" s="11" t="s">
        <v>77</v>
      </c>
      <c r="D18" s="11" t="s">
        <v>160</v>
      </c>
      <c r="E18" s="11" t="s">
        <v>161</v>
      </c>
      <c r="F18" s="5">
        <v>47894</v>
      </c>
      <c r="G18" s="1">
        <v>2233239934</v>
      </c>
      <c r="H18" s="3">
        <v>46069</v>
      </c>
      <c r="I18" s="3">
        <v>27679</v>
      </c>
      <c r="J18" s="3">
        <v>45870</v>
      </c>
      <c r="K18" s="3">
        <v>45544</v>
      </c>
      <c r="L18" s="38">
        <v>45909</v>
      </c>
      <c r="M18" s="38">
        <v>46273</v>
      </c>
      <c r="N18" s="1" t="s">
        <v>48</v>
      </c>
      <c r="O18" s="10">
        <v>45955</v>
      </c>
      <c r="P18" s="3">
        <v>46319</v>
      </c>
      <c r="Q18" s="1">
        <v>562839227</v>
      </c>
      <c r="R18" s="11" t="s">
        <v>84</v>
      </c>
      <c r="S18" s="1">
        <v>12000</v>
      </c>
      <c r="Y18" s="1">
        <f t="shared" si="0"/>
        <v>12000</v>
      </c>
      <c r="AA18" s="1" t="b">
        <v>0</v>
      </c>
      <c r="AB18" t="s">
        <v>136</v>
      </c>
      <c r="AC18" s="18">
        <v>1105</v>
      </c>
    </row>
    <row r="19" spans="1:30" ht="15" customHeight="1" x14ac:dyDescent="0.3">
      <c r="A19" s="64" t="s">
        <v>162</v>
      </c>
      <c r="B19" s="29"/>
      <c r="C19" s="11" t="s">
        <v>29</v>
      </c>
      <c r="D19" s="11" t="s">
        <v>157</v>
      </c>
      <c r="E19" s="11" t="s">
        <v>163</v>
      </c>
      <c r="F19" s="5">
        <v>47895</v>
      </c>
      <c r="G19" s="1">
        <v>2553733128</v>
      </c>
      <c r="H19" s="3">
        <v>46048</v>
      </c>
      <c r="I19" s="3">
        <v>35098</v>
      </c>
      <c r="J19" s="3">
        <v>45962</v>
      </c>
      <c r="K19" s="3">
        <v>45962</v>
      </c>
      <c r="L19" s="38">
        <v>45962</v>
      </c>
      <c r="M19" s="53" t="s">
        <v>310</v>
      </c>
      <c r="N19" s="1" t="s">
        <v>48</v>
      </c>
      <c r="O19" s="10"/>
      <c r="P19" s="3">
        <v>46319</v>
      </c>
      <c r="Q19" s="1">
        <v>535568053</v>
      </c>
      <c r="R19" s="11" t="s">
        <v>84</v>
      </c>
      <c r="S19" s="1">
        <v>8000</v>
      </c>
      <c r="T19" s="1">
        <v>1000</v>
      </c>
      <c r="U19" s="1">
        <v>5000</v>
      </c>
      <c r="X19" s="1">
        <v>1000</v>
      </c>
      <c r="Y19" s="1">
        <f t="shared" si="0"/>
        <v>15000</v>
      </c>
      <c r="AA19" s="1" t="b">
        <v>0</v>
      </c>
      <c r="AB19" t="s">
        <v>136</v>
      </c>
      <c r="AC19" s="18">
        <v>1165</v>
      </c>
    </row>
    <row r="20" spans="1:30" ht="15" customHeight="1" x14ac:dyDescent="0.3">
      <c r="A20" s="64" t="s">
        <v>164</v>
      </c>
      <c r="B20" s="29"/>
      <c r="C20" s="11" t="s">
        <v>35</v>
      </c>
      <c r="D20" s="11" t="s">
        <v>65</v>
      </c>
      <c r="E20" s="11" t="s">
        <v>165</v>
      </c>
      <c r="F20" s="5">
        <v>49407</v>
      </c>
      <c r="G20" s="1">
        <v>2523612881</v>
      </c>
      <c r="H20" s="3">
        <v>46080</v>
      </c>
      <c r="I20" s="3">
        <v>35273</v>
      </c>
      <c r="J20" s="3">
        <v>45962</v>
      </c>
      <c r="K20" s="54" t="s">
        <v>70</v>
      </c>
      <c r="L20" s="53" t="s">
        <v>276</v>
      </c>
      <c r="M20" s="53" t="s">
        <v>362</v>
      </c>
      <c r="N20" s="1" t="s">
        <v>48</v>
      </c>
      <c r="O20" s="10">
        <v>45955</v>
      </c>
      <c r="P20" s="3">
        <v>46319</v>
      </c>
      <c r="Q20" s="1">
        <v>509955806</v>
      </c>
      <c r="R20" s="11" t="s">
        <v>84</v>
      </c>
      <c r="S20" s="1">
        <v>6000</v>
      </c>
      <c r="Y20" s="1">
        <f t="shared" si="0"/>
        <v>6000</v>
      </c>
      <c r="AA20" s="1" t="b">
        <v>0</v>
      </c>
      <c r="AB20" t="s">
        <v>136</v>
      </c>
      <c r="AC20" s="18">
        <v>985</v>
      </c>
    </row>
    <row r="21" spans="1:30" ht="15" customHeight="1" x14ac:dyDescent="0.3">
      <c r="A21" s="65" t="s">
        <v>166</v>
      </c>
      <c r="B21" s="30"/>
      <c r="C21" s="11" t="s">
        <v>24</v>
      </c>
      <c r="D21" s="11" t="s">
        <v>125</v>
      </c>
      <c r="E21" s="11" t="s">
        <v>167</v>
      </c>
      <c r="F21" s="5">
        <v>48255</v>
      </c>
      <c r="G21" s="1">
        <v>2597502679</v>
      </c>
      <c r="H21" s="13">
        <v>45864</v>
      </c>
      <c r="I21" s="13">
        <v>29123</v>
      </c>
      <c r="J21" s="3">
        <v>45901</v>
      </c>
      <c r="K21" s="3">
        <v>45667</v>
      </c>
      <c r="L21" s="53" t="s">
        <v>318</v>
      </c>
      <c r="M21" s="53" t="s">
        <v>319</v>
      </c>
      <c r="N21" s="1" t="s">
        <v>48</v>
      </c>
      <c r="O21" s="10">
        <v>45955</v>
      </c>
      <c r="P21" s="3">
        <v>46319</v>
      </c>
      <c r="Q21" s="1">
        <v>567181591</v>
      </c>
      <c r="R21" s="11" t="s">
        <v>84</v>
      </c>
      <c r="S21" s="1">
        <v>3500</v>
      </c>
      <c r="X21" s="1">
        <v>0</v>
      </c>
      <c r="Y21" s="1">
        <f t="shared" si="0"/>
        <v>3500</v>
      </c>
      <c r="AA21" s="1" t="b">
        <v>0</v>
      </c>
      <c r="AB21" s="11" t="s">
        <v>136</v>
      </c>
      <c r="AC21" s="18">
        <v>935</v>
      </c>
    </row>
    <row r="22" spans="1:30" ht="15" customHeight="1" x14ac:dyDescent="0.3">
      <c r="A22" s="65" t="s">
        <v>168</v>
      </c>
      <c r="B22" s="30"/>
      <c r="C22" s="11" t="s">
        <v>169</v>
      </c>
      <c r="D22" s="11" t="s">
        <v>125</v>
      </c>
      <c r="E22" s="11" t="s">
        <v>170</v>
      </c>
      <c r="F22" s="5">
        <v>48671</v>
      </c>
      <c r="G22" s="1">
        <v>2587238508</v>
      </c>
      <c r="H22" s="5">
        <v>46001</v>
      </c>
      <c r="I22" s="5">
        <v>33583</v>
      </c>
      <c r="J22" s="3">
        <v>45962</v>
      </c>
      <c r="K22" s="54" t="s">
        <v>350</v>
      </c>
      <c r="L22" s="38">
        <v>45968</v>
      </c>
      <c r="M22" s="38">
        <v>46332</v>
      </c>
      <c r="N22" s="1" t="s">
        <v>48</v>
      </c>
      <c r="O22" s="10">
        <v>45955</v>
      </c>
      <c r="P22" s="3">
        <v>46319</v>
      </c>
      <c r="Q22" s="1">
        <v>554084483</v>
      </c>
      <c r="R22" s="11" t="s">
        <v>84</v>
      </c>
      <c r="S22" s="1">
        <v>5000</v>
      </c>
      <c r="Y22" s="1">
        <f t="shared" ref="Y22:Y26" si="1">SUM(S22:X22)</f>
        <v>5000</v>
      </c>
      <c r="AA22" s="1" t="b">
        <v>0</v>
      </c>
      <c r="AB22" s="11" t="s">
        <v>136</v>
      </c>
      <c r="AC22" s="18">
        <v>965</v>
      </c>
    </row>
    <row r="23" spans="1:30" ht="15" customHeight="1" x14ac:dyDescent="0.3">
      <c r="A23" s="64" t="s">
        <v>171</v>
      </c>
      <c r="B23" s="29"/>
      <c r="C23" s="11" t="s">
        <v>28</v>
      </c>
      <c r="D23" s="11" t="s">
        <v>82</v>
      </c>
      <c r="E23" s="11" t="s">
        <v>172</v>
      </c>
      <c r="F23" s="5">
        <v>47889</v>
      </c>
      <c r="G23" s="1">
        <v>2513944039</v>
      </c>
      <c r="H23" s="13">
        <v>46061</v>
      </c>
      <c r="I23" s="13">
        <v>36524</v>
      </c>
      <c r="J23" s="3">
        <v>45920</v>
      </c>
      <c r="K23" s="3">
        <v>45047</v>
      </c>
      <c r="L23" s="38">
        <v>45942</v>
      </c>
      <c r="M23" s="38">
        <v>46306</v>
      </c>
      <c r="N23" s="1" t="s">
        <v>48</v>
      </c>
      <c r="O23" s="10">
        <v>45955</v>
      </c>
      <c r="P23" s="3">
        <v>46319</v>
      </c>
      <c r="Q23" s="1">
        <v>591592261</v>
      </c>
      <c r="R23" s="11" t="s">
        <v>84</v>
      </c>
      <c r="S23" s="1">
        <v>2000</v>
      </c>
      <c r="Y23" s="1">
        <f t="shared" si="1"/>
        <v>2000</v>
      </c>
      <c r="AA23" s="1" t="b">
        <v>0</v>
      </c>
      <c r="AB23" s="11" t="s">
        <v>136</v>
      </c>
      <c r="AC23" s="18">
        <v>915</v>
      </c>
    </row>
    <row r="24" spans="1:30" ht="15" customHeight="1" x14ac:dyDescent="0.3">
      <c r="A24" s="63" t="s">
        <v>177</v>
      </c>
      <c r="B24" s="28"/>
      <c r="C24" s="1" t="s">
        <v>24</v>
      </c>
      <c r="D24" s="1" t="s">
        <v>178</v>
      </c>
      <c r="E24" s="1" t="s">
        <v>179</v>
      </c>
      <c r="F24" s="5">
        <v>48118</v>
      </c>
      <c r="G24" s="1">
        <v>2464007273</v>
      </c>
      <c r="H24" s="5">
        <v>45715</v>
      </c>
      <c r="I24" s="5">
        <v>33352</v>
      </c>
      <c r="J24" s="3">
        <v>45870</v>
      </c>
      <c r="K24" s="54" t="s">
        <v>333</v>
      </c>
      <c r="L24" s="53" t="s">
        <v>334</v>
      </c>
      <c r="M24" s="53" t="s">
        <v>335</v>
      </c>
      <c r="N24" s="1" t="s">
        <v>48</v>
      </c>
      <c r="O24" s="10">
        <v>45955</v>
      </c>
      <c r="P24" s="3">
        <v>46319</v>
      </c>
      <c r="Q24" s="1">
        <v>545851016</v>
      </c>
      <c r="R24" s="16" t="s">
        <v>84</v>
      </c>
      <c r="S24" s="1">
        <v>5000</v>
      </c>
      <c r="Y24" s="1">
        <f t="shared" si="1"/>
        <v>5000</v>
      </c>
      <c r="AA24" s="1" t="b">
        <v>0</v>
      </c>
      <c r="AB24" s="1" t="s">
        <v>180</v>
      </c>
      <c r="AC24" s="18">
        <v>965</v>
      </c>
    </row>
    <row r="25" spans="1:30" ht="15" customHeight="1" x14ac:dyDescent="0.3">
      <c r="A25" s="63" t="s">
        <v>190</v>
      </c>
      <c r="B25" s="28"/>
      <c r="C25" s="1" t="s">
        <v>24</v>
      </c>
      <c r="D25" s="1" t="s">
        <v>185</v>
      </c>
      <c r="E25" s="1" t="s">
        <v>191</v>
      </c>
      <c r="F25" s="5">
        <v>47640</v>
      </c>
      <c r="G25" s="1">
        <v>2596808622</v>
      </c>
      <c r="H25" s="5">
        <v>46031</v>
      </c>
      <c r="I25" s="5">
        <v>34608</v>
      </c>
      <c r="J25" s="5">
        <v>45962</v>
      </c>
      <c r="K25" s="48" t="s">
        <v>334</v>
      </c>
      <c r="L25" s="36">
        <v>45719</v>
      </c>
      <c r="M25" s="36">
        <v>46056</v>
      </c>
      <c r="N25" s="1" t="s">
        <v>48</v>
      </c>
      <c r="O25" s="10">
        <v>45955</v>
      </c>
      <c r="P25" s="3">
        <v>46319</v>
      </c>
      <c r="Q25" s="1">
        <v>503987002</v>
      </c>
      <c r="R25" s="1" t="s">
        <v>84</v>
      </c>
      <c r="S25" s="1">
        <v>8000</v>
      </c>
      <c r="Y25" s="1">
        <f t="shared" si="1"/>
        <v>8000</v>
      </c>
      <c r="AA25" s="1" t="b">
        <v>0</v>
      </c>
      <c r="AB25" s="11" t="s">
        <v>136</v>
      </c>
      <c r="AC25" s="18">
        <v>1025</v>
      </c>
    </row>
    <row r="26" spans="1:30" ht="15" customHeight="1" x14ac:dyDescent="0.3">
      <c r="A26" s="66" t="s">
        <v>192</v>
      </c>
      <c r="B26" s="31"/>
      <c r="C26" s="1" t="s">
        <v>193</v>
      </c>
      <c r="D26" s="1" t="s">
        <v>194</v>
      </c>
      <c r="E26" s="1" t="s">
        <v>195</v>
      </c>
      <c r="F26" s="5">
        <v>48737</v>
      </c>
      <c r="G26" s="1">
        <v>1106317512</v>
      </c>
      <c r="H26" s="1" t="s">
        <v>196</v>
      </c>
      <c r="I26" s="5">
        <v>34646</v>
      </c>
      <c r="J26" s="5">
        <v>45917</v>
      </c>
      <c r="K26" s="5">
        <v>45917</v>
      </c>
      <c r="L26" s="36">
        <v>45917</v>
      </c>
      <c r="M26" s="49" t="s">
        <v>313</v>
      </c>
      <c r="N26" s="1" t="s">
        <v>48</v>
      </c>
      <c r="O26" s="10">
        <v>45955</v>
      </c>
      <c r="P26" s="3">
        <v>46319</v>
      </c>
      <c r="Q26" s="1">
        <v>534152918</v>
      </c>
      <c r="R26" s="1" t="s">
        <v>84</v>
      </c>
      <c r="S26" s="1">
        <v>9000</v>
      </c>
      <c r="T26" s="1">
        <v>900</v>
      </c>
      <c r="U26" s="1">
        <v>2250</v>
      </c>
      <c r="X26" s="1">
        <v>2850</v>
      </c>
      <c r="Y26" s="1">
        <f t="shared" si="1"/>
        <v>15000</v>
      </c>
      <c r="AA26" s="1" t="b">
        <v>0</v>
      </c>
      <c r="AB26" s="11" t="s">
        <v>136</v>
      </c>
      <c r="AC26" s="18">
        <v>3000</v>
      </c>
    </row>
    <row r="27" spans="1:30" s="39" customFormat="1" ht="15" customHeight="1" x14ac:dyDescent="0.3">
      <c r="A27" s="39" t="s">
        <v>201</v>
      </c>
      <c r="B27" s="43"/>
      <c r="C27" s="40" t="s">
        <v>24</v>
      </c>
      <c r="D27" s="41" t="s">
        <v>32</v>
      </c>
      <c r="E27" s="39" t="s">
        <v>107</v>
      </c>
      <c r="F27" s="39" t="s">
        <v>108</v>
      </c>
      <c r="G27" s="39">
        <v>2591290024</v>
      </c>
      <c r="H27" s="42">
        <v>45694</v>
      </c>
      <c r="I27" s="42">
        <v>31087</v>
      </c>
      <c r="J27" s="42">
        <v>45394</v>
      </c>
      <c r="K27" s="42">
        <v>45394</v>
      </c>
      <c r="L27" s="51">
        <v>45654</v>
      </c>
      <c r="M27" s="51">
        <v>46383</v>
      </c>
      <c r="N27" s="39" t="s">
        <v>104</v>
      </c>
      <c r="O27" s="10">
        <v>45955</v>
      </c>
      <c r="P27" s="3">
        <v>46319</v>
      </c>
      <c r="Q27" s="39">
        <v>549752600</v>
      </c>
      <c r="R27" s="39" t="s">
        <v>84</v>
      </c>
      <c r="S27" s="39">
        <v>4000</v>
      </c>
      <c r="T27" s="39">
        <v>1000</v>
      </c>
      <c r="U27" s="39">
        <v>1000</v>
      </c>
      <c r="V27" s="39">
        <v>0</v>
      </c>
      <c r="W27" s="39">
        <v>0</v>
      </c>
      <c r="X27" s="39">
        <v>0</v>
      </c>
      <c r="Y27" s="39">
        <v>6000</v>
      </c>
      <c r="AA27" s="39" t="b">
        <v>0</v>
      </c>
      <c r="AB27" s="41" t="s">
        <v>204</v>
      </c>
      <c r="AC27" s="44">
        <v>940</v>
      </c>
      <c r="AD27" s="44">
        <f>AC27+Y27</f>
        <v>6940</v>
      </c>
    </row>
    <row r="28" spans="1:30" ht="15" customHeight="1" x14ac:dyDescent="0.3">
      <c r="A28" s="32" t="s">
        <v>206</v>
      </c>
      <c r="B28" s="67"/>
      <c r="C28" s="32" t="s">
        <v>193</v>
      </c>
      <c r="D28" s="32" t="s">
        <v>207</v>
      </c>
      <c r="G28" s="1">
        <v>1107412023</v>
      </c>
      <c r="H28" s="32" t="s">
        <v>209</v>
      </c>
      <c r="I28" s="32" t="s">
        <v>210</v>
      </c>
      <c r="J28" s="32" t="s">
        <v>208</v>
      </c>
      <c r="K28" s="5">
        <v>45669</v>
      </c>
      <c r="L28" s="36">
        <v>45669</v>
      </c>
      <c r="M28" s="52" t="s">
        <v>149</v>
      </c>
      <c r="N28" s="46" t="s">
        <v>105</v>
      </c>
      <c r="O28" s="10"/>
      <c r="P28" s="3">
        <v>46319</v>
      </c>
      <c r="Q28" s="1">
        <v>536808045</v>
      </c>
      <c r="R28" s="32" t="s">
        <v>84</v>
      </c>
      <c r="S28" s="1">
        <v>4200</v>
      </c>
      <c r="T28" s="1">
        <v>700</v>
      </c>
      <c r="U28" s="1">
        <v>1750</v>
      </c>
      <c r="V28" s="1">
        <v>0</v>
      </c>
      <c r="W28" s="1">
        <v>0</v>
      </c>
      <c r="X28" s="1">
        <v>0</v>
      </c>
      <c r="Y28" s="1">
        <v>7000</v>
      </c>
      <c r="AA28" s="1" t="b">
        <v>0</v>
      </c>
      <c r="AB28" s="32" t="s">
        <v>211</v>
      </c>
    </row>
    <row r="29" spans="1:30" ht="15" customHeight="1" x14ac:dyDescent="0.3">
      <c r="A29" s="32" t="s">
        <v>212</v>
      </c>
      <c r="B29" s="67"/>
      <c r="C29" s="32" t="s">
        <v>24</v>
      </c>
      <c r="D29" s="32" t="s">
        <v>213</v>
      </c>
      <c r="E29" s="32" t="s">
        <v>214</v>
      </c>
      <c r="F29" s="32" t="s">
        <v>215</v>
      </c>
      <c r="G29" s="1">
        <v>2453621597</v>
      </c>
      <c r="H29" s="32" t="s">
        <v>217</v>
      </c>
      <c r="I29" s="5">
        <v>33792</v>
      </c>
      <c r="J29" s="32" t="s">
        <v>216</v>
      </c>
      <c r="K29" s="46" t="s">
        <v>216</v>
      </c>
      <c r="L29" s="37" t="s">
        <v>216</v>
      </c>
      <c r="M29" s="52" t="s">
        <v>344</v>
      </c>
      <c r="N29" s="32" t="s">
        <v>48</v>
      </c>
      <c r="O29" s="10"/>
      <c r="P29" s="3">
        <v>46319</v>
      </c>
      <c r="Q29" s="1">
        <v>548810150</v>
      </c>
      <c r="R29" s="32" t="s">
        <v>84</v>
      </c>
      <c r="S29" s="1">
        <v>2000</v>
      </c>
      <c r="T29" s="1">
        <v>250</v>
      </c>
      <c r="U29" s="1">
        <v>250</v>
      </c>
      <c r="V29" s="1">
        <v>0</v>
      </c>
      <c r="W29" s="1">
        <v>0</v>
      </c>
      <c r="X29" s="1">
        <v>0</v>
      </c>
      <c r="Y29" s="1">
        <v>2500</v>
      </c>
      <c r="AA29" s="1" t="b">
        <v>0</v>
      </c>
      <c r="AB29" s="32" t="s">
        <v>218</v>
      </c>
      <c r="AC29" s="18">
        <v>870</v>
      </c>
    </row>
    <row r="30" spans="1:30" ht="15" customHeight="1" x14ac:dyDescent="0.3">
      <c r="A30" s="32" t="s">
        <v>219</v>
      </c>
      <c r="B30" s="67"/>
      <c r="C30" s="32" t="s">
        <v>24</v>
      </c>
      <c r="D30" s="1" t="s">
        <v>220</v>
      </c>
      <c r="E30" s="1" t="s">
        <v>221</v>
      </c>
      <c r="F30" s="5">
        <v>48250</v>
      </c>
      <c r="I30" s="5">
        <v>24752</v>
      </c>
      <c r="J30" s="5">
        <v>45692</v>
      </c>
      <c r="K30" s="5">
        <v>45692</v>
      </c>
      <c r="N30" s="1" t="s">
        <v>222</v>
      </c>
      <c r="O30" s="10">
        <v>45955</v>
      </c>
      <c r="P30" s="3">
        <v>46319</v>
      </c>
      <c r="Q30" s="1">
        <v>1222101984</v>
      </c>
      <c r="R30" s="1" t="s">
        <v>84</v>
      </c>
      <c r="S30" s="1">
        <v>6000</v>
      </c>
      <c r="T30" s="1">
        <v>1000</v>
      </c>
      <c r="U30" s="1">
        <v>1000</v>
      </c>
      <c r="V30" s="1">
        <v>0</v>
      </c>
      <c r="W30" s="1">
        <v>0</v>
      </c>
      <c r="X30" s="1">
        <v>0</v>
      </c>
      <c r="Y30" s="1">
        <v>8000</v>
      </c>
      <c r="AA30" s="1" t="b">
        <v>0</v>
      </c>
      <c r="AC30" s="18">
        <v>980</v>
      </c>
    </row>
    <row r="31" spans="1:30" ht="15" customHeight="1" x14ac:dyDescent="0.3">
      <c r="A31" s="1" t="s">
        <v>223</v>
      </c>
      <c r="C31" s="32" t="s">
        <v>24</v>
      </c>
      <c r="D31" s="46" t="s">
        <v>125</v>
      </c>
      <c r="E31" s="1" t="s">
        <v>225</v>
      </c>
      <c r="F31" s="5">
        <v>48039</v>
      </c>
      <c r="G31" s="1">
        <v>2951210857</v>
      </c>
      <c r="H31" s="1" t="s">
        <v>227</v>
      </c>
      <c r="I31" s="5">
        <v>29221</v>
      </c>
      <c r="J31" s="1" t="s">
        <v>224</v>
      </c>
      <c r="K31" s="1" t="s">
        <v>224</v>
      </c>
      <c r="L31" s="52" t="s">
        <v>343</v>
      </c>
      <c r="M31" s="52" t="s">
        <v>305</v>
      </c>
      <c r="N31" s="1" t="s">
        <v>226</v>
      </c>
      <c r="O31" s="10">
        <v>45955</v>
      </c>
      <c r="P31" s="3">
        <v>46319</v>
      </c>
      <c r="Q31" s="1">
        <v>565384938</v>
      </c>
      <c r="R31" s="1" t="s">
        <v>84</v>
      </c>
      <c r="S31" s="1">
        <v>8000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8000</v>
      </c>
      <c r="AA31" s="1" t="b">
        <v>0</v>
      </c>
      <c r="AB31" s="32" t="s">
        <v>218</v>
      </c>
    </row>
    <row r="32" spans="1:30" ht="15" customHeight="1" x14ac:dyDescent="0.3">
      <c r="A32" s="1" t="s">
        <v>228</v>
      </c>
      <c r="C32" s="1" t="s">
        <v>24</v>
      </c>
      <c r="D32" s="1" t="s">
        <v>32</v>
      </c>
      <c r="E32" s="1" t="s">
        <v>229</v>
      </c>
      <c r="F32" s="1" t="s">
        <v>230</v>
      </c>
      <c r="G32" s="1">
        <v>2596659264</v>
      </c>
      <c r="H32" s="1" t="s">
        <v>232</v>
      </c>
      <c r="I32" s="1" t="s">
        <v>238</v>
      </c>
      <c r="J32" s="5">
        <v>45757</v>
      </c>
      <c r="K32" s="5">
        <v>45748</v>
      </c>
      <c r="L32" s="36">
        <v>45719</v>
      </c>
      <c r="M32" s="36">
        <v>46056</v>
      </c>
      <c r="N32" s="1" t="s">
        <v>231</v>
      </c>
      <c r="O32" s="10">
        <v>45955</v>
      </c>
      <c r="P32" s="3">
        <v>46319</v>
      </c>
      <c r="Q32" s="1">
        <v>532490926</v>
      </c>
      <c r="R32" s="1" t="s">
        <v>84</v>
      </c>
      <c r="S32" s="1">
        <v>6000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6000</v>
      </c>
      <c r="AA32" s="1" t="b">
        <v>0</v>
      </c>
      <c r="AB32" s="32" t="s">
        <v>218</v>
      </c>
    </row>
    <row r="33" spans="1:28" ht="15" customHeight="1" x14ac:dyDescent="0.3">
      <c r="A33" s="1" t="s">
        <v>233</v>
      </c>
      <c r="C33" s="1" t="s">
        <v>24</v>
      </c>
      <c r="D33" s="1" t="s">
        <v>151</v>
      </c>
      <c r="E33" s="1" t="s">
        <v>234</v>
      </c>
      <c r="F33" s="1" t="s">
        <v>235</v>
      </c>
      <c r="G33" s="1">
        <v>2566609828</v>
      </c>
      <c r="H33" s="5">
        <v>45691</v>
      </c>
      <c r="I33" s="1" t="s">
        <v>237</v>
      </c>
      <c r="J33" s="1" t="s">
        <v>236</v>
      </c>
      <c r="K33" s="1" t="s">
        <v>236</v>
      </c>
      <c r="L33" s="52" t="s">
        <v>326</v>
      </c>
      <c r="M33" s="52" t="s">
        <v>327</v>
      </c>
      <c r="N33" s="1" t="s">
        <v>231</v>
      </c>
      <c r="O33" s="10">
        <v>45955</v>
      </c>
      <c r="P33" s="3">
        <v>46319</v>
      </c>
      <c r="Q33" s="1">
        <v>503153462</v>
      </c>
      <c r="R33" s="1" t="s">
        <v>84</v>
      </c>
      <c r="S33" s="1">
        <v>8000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8000</v>
      </c>
      <c r="AA33" s="1" t="b">
        <v>0</v>
      </c>
      <c r="AB33" s="32" t="s">
        <v>218</v>
      </c>
    </row>
    <row r="34" spans="1:28" ht="15" customHeight="1" x14ac:dyDescent="0.3">
      <c r="A34" s="1" t="s">
        <v>239</v>
      </c>
      <c r="C34" s="1" t="str">
        <f>$C$33</f>
        <v>Egypt</v>
      </c>
      <c r="D34" s="1" t="s">
        <v>151</v>
      </c>
      <c r="E34" s="1" t="s">
        <v>240</v>
      </c>
      <c r="F34" s="1" t="s">
        <v>241</v>
      </c>
      <c r="G34" s="1">
        <v>2606628556</v>
      </c>
      <c r="H34" s="5">
        <v>45971</v>
      </c>
      <c r="I34" s="5">
        <v>33335</v>
      </c>
      <c r="J34" s="1" t="s">
        <v>242</v>
      </c>
      <c r="K34" s="1" t="s">
        <v>242</v>
      </c>
      <c r="L34" s="36">
        <v>45815</v>
      </c>
      <c r="M34" s="36">
        <v>46149</v>
      </c>
      <c r="N34" s="1" t="s">
        <v>231</v>
      </c>
      <c r="O34" s="10">
        <v>45955</v>
      </c>
      <c r="P34" s="3">
        <v>46319</v>
      </c>
      <c r="Q34" s="1">
        <v>547736685</v>
      </c>
      <c r="R34" s="1" t="s">
        <v>84</v>
      </c>
      <c r="S34" s="1">
        <v>4000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4000</v>
      </c>
      <c r="AA34" s="1" t="b">
        <v>0</v>
      </c>
      <c r="AB34" s="32" t="s">
        <v>218</v>
      </c>
    </row>
    <row r="35" spans="1:28" ht="15" customHeight="1" x14ac:dyDescent="0.3">
      <c r="A35" s="1" t="s">
        <v>243</v>
      </c>
      <c r="C35" s="1" t="s">
        <v>24</v>
      </c>
      <c r="D35" s="45" t="s">
        <v>246</v>
      </c>
      <c r="E35" s="1" t="s">
        <v>244</v>
      </c>
      <c r="F35" s="1" t="s">
        <v>245</v>
      </c>
      <c r="G35" s="1">
        <v>2596659066</v>
      </c>
      <c r="H35" s="1" t="s">
        <v>247</v>
      </c>
      <c r="I35" s="1" t="s">
        <v>248</v>
      </c>
      <c r="J35" s="5">
        <v>45659</v>
      </c>
      <c r="K35" s="5">
        <v>45659</v>
      </c>
      <c r="L35" s="36">
        <v>45719</v>
      </c>
      <c r="M35" s="36">
        <v>46056</v>
      </c>
      <c r="N35" s="1" t="s">
        <v>231</v>
      </c>
      <c r="O35" s="10">
        <v>45955</v>
      </c>
      <c r="P35" s="3">
        <v>46319</v>
      </c>
      <c r="Q35" s="1">
        <v>500437418</v>
      </c>
      <c r="R35" s="1" t="s">
        <v>84</v>
      </c>
      <c r="S35" s="1">
        <v>2500</v>
      </c>
      <c r="T35" s="1">
        <v>0</v>
      </c>
      <c r="U35" s="1">
        <v>0</v>
      </c>
      <c r="V35" s="1">
        <v>0</v>
      </c>
      <c r="W35" s="1">
        <v>0</v>
      </c>
      <c r="Y35" s="1">
        <v>2500</v>
      </c>
      <c r="AA35" s="1" t="b">
        <v>0</v>
      </c>
      <c r="AB35" s="32" t="s">
        <v>218</v>
      </c>
    </row>
    <row r="36" spans="1:28" ht="15" customHeight="1" x14ac:dyDescent="0.3">
      <c r="A36" s="1" t="s">
        <v>249</v>
      </c>
      <c r="C36" s="1" t="s">
        <v>24</v>
      </c>
      <c r="D36" s="1" t="s">
        <v>151</v>
      </c>
      <c r="E36" s="46" t="s">
        <v>309</v>
      </c>
      <c r="F36" s="46" t="s">
        <v>99</v>
      </c>
      <c r="G36" s="1">
        <v>2592717421</v>
      </c>
      <c r="H36" s="1" t="s">
        <v>250</v>
      </c>
      <c r="I36" s="5">
        <v>34612</v>
      </c>
      <c r="J36" s="1" t="s">
        <v>251</v>
      </c>
      <c r="K36" s="1" t="s">
        <v>251</v>
      </c>
      <c r="L36" s="52" t="s">
        <v>307</v>
      </c>
      <c r="M36" s="52" t="s">
        <v>308</v>
      </c>
      <c r="N36" s="1" t="s">
        <v>231</v>
      </c>
      <c r="O36" s="10">
        <v>45955</v>
      </c>
      <c r="P36" s="3">
        <v>46319</v>
      </c>
      <c r="Q36" s="1">
        <v>554911518</v>
      </c>
      <c r="R36" s="1" t="s">
        <v>84</v>
      </c>
      <c r="S36" s="1">
        <v>6000</v>
      </c>
      <c r="T36" s="1">
        <v>0</v>
      </c>
      <c r="U36" s="1">
        <v>0</v>
      </c>
      <c r="V36" s="1">
        <v>0</v>
      </c>
      <c r="W36" s="1">
        <v>0</v>
      </c>
      <c r="X36" s="1">
        <v>2000</v>
      </c>
      <c r="Y36" s="1">
        <v>8000</v>
      </c>
      <c r="AA36" s="1" t="b">
        <v>0</v>
      </c>
      <c r="AB36" s="32" t="s">
        <v>218</v>
      </c>
    </row>
    <row r="37" spans="1:28" ht="15" customHeight="1" x14ac:dyDescent="0.3">
      <c r="A37" s="1" t="s">
        <v>257</v>
      </c>
      <c r="C37" s="1" t="s">
        <v>35</v>
      </c>
      <c r="D37" s="1" t="s">
        <v>92</v>
      </c>
      <c r="E37" s="1" t="s">
        <v>252</v>
      </c>
      <c r="F37" s="1" t="s">
        <v>253</v>
      </c>
      <c r="G37" s="1">
        <v>2543066795</v>
      </c>
      <c r="H37" s="1" t="s">
        <v>255</v>
      </c>
      <c r="I37" s="1" t="s">
        <v>256</v>
      </c>
      <c r="J37" s="1" t="s">
        <v>254</v>
      </c>
      <c r="K37" s="1" t="s">
        <v>254</v>
      </c>
      <c r="L37" s="36">
        <v>46299</v>
      </c>
      <c r="M37" s="36">
        <v>46269</v>
      </c>
      <c r="N37" s="1" t="s">
        <v>231</v>
      </c>
      <c r="O37" s="10">
        <v>45955</v>
      </c>
      <c r="P37" s="3">
        <v>46319</v>
      </c>
      <c r="Q37" s="1">
        <v>535993567</v>
      </c>
      <c r="R37" s="1" t="s">
        <v>84</v>
      </c>
      <c r="S37" s="1">
        <v>3500</v>
      </c>
      <c r="Y37" s="1">
        <v>3500</v>
      </c>
      <c r="AA37" s="1" t="b">
        <v>0</v>
      </c>
      <c r="AB37" s="32" t="s">
        <v>218</v>
      </c>
    </row>
    <row r="38" spans="1:28" ht="15" customHeight="1" x14ac:dyDescent="0.3">
      <c r="A38" s="1" t="s">
        <v>258</v>
      </c>
      <c r="C38" s="1" t="s">
        <v>24</v>
      </c>
      <c r="D38" s="1" t="s">
        <v>262</v>
      </c>
      <c r="E38" s="1" t="s">
        <v>259</v>
      </c>
      <c r="F38" s="5">
        <v>48002</v>
      </c>
      <c r="G38" s="1">
        <v>2574977910</v>
      </c>
      <c r="H38" s="1" t="s">
        <v>261</v>
      </c>
      <c r="I38" s="5">
        <v>36776</v>
      </c>
      <c r="J38" s="1" t="s">
        <v>260</v>
      </c>
      <c r="K38" s="46" t="s">
        <v>336</v>
      </c>
      <c r="L38" s="36">
        <v>45870</v>
      </c>
      <c r="M38" s="36">
        <v>46204</v>
      </c>
      <c r="N38" s="1" t="s">
        <v>231</v>
      </c>
      <c r="O38" s="10">
        <v>45955</v>
      </c>
      <c r="P38" s="3">
        <v>46319</v>
      </c>
      <c r="Q38" s="1">
        <v>5352250528</v>
      </c>
      <c r="R38" s="1" t="s">
        <v>84</v>
      </c>
      <c r="S38" s="1">
        <v>2500</v>
      </c>
      <c r="X38" s="1">
        <v>500</v>
      </c>
      <c r="Y38" s="1">
        <v>3000</v>
      </c>
      <c r="AA38" s="1" t="b">
        <v>0</v>
      </c>
      <c r="AB38" s="32" t="s">
        <v>218</v>
      </c>
    </row>
    <row r="39" spans="1:28" ht="15" customHeight="1" x14ac:dyDescent="0.3">
      <c r="A39" s="1" t="s">
        <v>263</v>
      </c>
      <c r="C39" s="1" t="s">
        <v>24</v>
      </c>
      <c r="D39" s="1" t="s">
        <v>220</v>
      </c>
      <c r="E39" s="1" t="s">
        <v>264</v>
      </c>
      <c r="F39" s="5">
        <v>47857</v>
      </c>
      <c r="G39" s="1">
        <v>2588512950</v>
      </c>
      <c r="H39" s="1" t="s">
        <v>265</v>
      </c>
      <c r="I39" s="5">
        <v>35076</v>
      </c>
      <c r="J39" s="5">
        <v>45333</v>
      </c>
      <c r="K39" s="5">
        <v>45333</v>
      </c>
      <c r="L39" s="36">
        <v>45748</v>
      </c>
      <c r="M39" s="36">
        <v>46082</v>
      </c>
      <c r="N39" s="1" t="s">
        <v>231</v>
      </c>
      <c r="O39" s="10">
        <v>45955</v>
      </c>
      <c r="P39" s="3">
        <v>46319</v>
      </c>
      <c r="Q39" s="1">
        <v>544185524</v>
      </c>
      <c r="R39" s="1" t="s">
        <v>84</v>
      </c>
      <c r="S39" s="1">
        <v>5000</v>
      </c>
      <c r="X39" s="1">
        <v>6000</v>
      </c>
      <c r="Y39" s="1">
        <v>11000</v>
      </c>
      <c r="AA39" s="1" t="b">
        <v>0</v>
      </c>
      <c r="AB39" s="32" t="s">
        <v>218</v>
      </c>
    </row>
    <row r="40" spans="1:28" ht="15" customHeight="1" x14ac:dyDescent="0.3">
      <c r="A40" s="1" t="s">
        <v>266</v>
      </c>
      <c r="C40" s="1" t="s">
        <v>24</v>
      </c>
      <c r="D40" s="1" t="s">
        <v>272</v>
      </c>
      <c r="E40" s="1" t="s">
        <v>267</v>
      </c>
      <c r="F40" s="1" t="s">
        <v>268</v>
      </c>
      <c r="G40" s="1">
        <v>2585156959</v>
      </c>
      <c r="H40" s="1" t="s">
        <v>269</v>
      </c>
      <c r="I40" s="1" t="s">
        <v>270</v>
      </c>
      <c r="J40" s="5">
        <v>45302</v>
      </c>
      <c r="K40" s="5">
        <v>45302</v>
      </c>
      <c r="L40" s="52" t="s">
        <v>357</v>
      </c>
      <c r="M40" s="52" t="s">
        <v>358</v>
      </c>
      <c r="N40" s="1" t="s">
        <v>231</v>
      </c>
      <c r="O40" s="10">
        <v>45955</v>
      </c>
      <c r="P40" s="3">
        <v>46319</v>
      </c>
      <c r="Q40" s="1">
        <v>568710187</v>
      </c>
      <c r="R40" s="1" t="s">
        <v>84</v>
      </c>
      <c r="S40" s="1">
        <v>2500</v>
      </c>
      <c r="X40" s="1">
        <v>1000</v>
      </c>
      <c r="Y40" s="1">
        <v>3500</v>
      </c>
      <c r="AA40" s="1" t="s">
        <v>271</v>
      </c>
      <c r="AB40" s="32" t="s">
        <v>218</v>
      </c>
    </row>
    <row r="41" spans="1:28" ht="15" customHeight="1" x14ac:dyDescent="0.3">
      <c r="A41" s="1" t="s">
        <v>273</v>
      </c>
      <c r="C41" s="1" t="s">
        <v>24</v>
      </c>
      <c r="D41" s="1" t="s">
        <v>275</v>
      </c>
      <c r="E41" s="1" t="s">
        <v>191</v>
      </c>
      <c r="F41" s="5">
        <v>47643</v>
      </c>
      <c r="G41" s="1">
        <v>2596808622</v>
      </c>
      <c r="H41" s="1" t="s">
        <v>274</v>
      </c>
      <c r="I41" s="5">
        <v>34344</v>
      </c>
      <c r="J41" s="1" t="s">
        <v>276</v>
      </c>
      <c r="K41" s="5">
        <v>45719</v>
      </c>
      <c r="L41" s="36">
        <v>45719</v>
      </c>
      <c r="M41" s="36">
        <v>46056</v>
      </c>
      <c r="N41" s="1" t="s">
        <v>231</v>
      </c>
      <c r="O41" s="10">
        <v>45955</v>
      </c>
      <c r="P41" s="3">
        <v>46319</v>
      </c>
      <c r="Q41" s="1">
        <v>503957002</v>
      </c>
      <c r="R41" s="1" t="s">
        <v>84</v>
      </c>
      <c r="S41" s="1">
        <v>8000</v>
      </c>
      <c r="Y41" s="1">
        <v>8000</v>
      </c>
      <c r="AA41" s="1" t="s">
        <v>271</v>
      </c>
      <c r="AB41" s="32" t="s">
        <v>218</v>
      </c>
    </row>
    <row r="42" spans="1:28" ht="15" customHeight="1" x14ac:dyDescent="0.3">
      <c r="A42" s="46" t="s">
        <v>277</v>
      </c>
      <c r="B42" s="68"/>
      <c r="C42" s="46" t="s">
        <v>193</v>
      </c>
      <c r="D42" s="46" t="s">
        <v>151</v>
      </c>
      <c r="G42" s="1">
        <v>1106171257</v>
      </c>
      <c r="H42" s="46" t="s">
        <v>278</v>
      </c>
      <c r="I42" s="46" t="s">
        <v>279</v>
      </c>
      <c r="J42" s="46" t="s">
        <v>260</v>
      </c>
      <c r="K42" s="46" t="s">
        <v>280</v>
      </c>
      <c r="L42" s="50" t="s">
        <v>305</v>
      </c>
      <c r="M42" s="49">
        <v>46375</v>
      </c>
      <c r="N42" s="1" t="s">
        <v>48</v>
      </c>
      <c r="O42" s="10"/>
      <c r="P42" s="3">
        <v>46319</v>
      </c>
      <c r="Q42" s="1">
        <v>545405204</v>
      </c>
      <c r="R42" s="46" t="s">
        <v>84</v>
      </c>
      <c r="S42" s="1">
        <v>5000</v>
      </c>
      <c r="T42" s="1">
        <v>1500</v>
      </c>
      <c r="U42" s="1">
        <v>500</v>
      </c>
      <c r="V42" s="1">
        <v>0</v>
      </c>
      <c r="W42" s="1">
        <v>0</v>
      </c>
      <c r="X42" s="1">
        <v>0</v>
      </c>
      <c r="Y42" s="1">
        <v>7000</v>
      </c>
      <c r="AA42" s="46" t="s">
        <v>271</v>
      </c>
      <c r="AB42" s="32" t="s">
        <v>218</v>
      </c>
    </row>
    <row r="43" spans="1:28" ht="15" customHeight="1" x14ac:dyDescent="0.3">
      <c r="A43" s="46" t="s">
        <v>281</v>
      </c>
      <c r="B43" s="68"/>
      <c r="C43" s="46" t="s">
        <v>193</v>
      </c>
      <c r="D43" s="46" t="s">
        <v>102</v>
      </c>
      <c r="G43" s="1">
        <v>1113244964</v>
      </c>
      <c r="H43" s="46" t="s">
        <v>282</v>
      </c>
      <c r="I43" s="46" t="s">
        <v>284</v>
      </c>
      <c r="K43" s="5">
        <v>45421</v>
      </c>
      <c r="L43" s="36">
        <v>45786</v>
      </c>
      <c r="M43" s="36">
        <v>46121</v>
      </c>
      <c r="N43" s="46" t="s">
        <v>283</v>
      </c>
      <c r="O43" s="10">
        <v>45955</v>
      </c>
      <c r="P43" s="3">
        <v>46319</v>
      </c>
      <c r="Q43" s="1">
        <v>556661224</v>
      </c>
      <c r="R43" s="46" t="s">
        <v>84</v>
      </c>
      <c r="S43" s="47">
        <v>9950</v>
      </c>
      <c r="X43" s="47">
        <v>5050</v>
      </c>
      <c r="Y43" s="1">
        <v>15000</v>
      </c>
      <c r="AA43" s="46" t="s">
        <v>271</v>
      </c>
      <c r="AB43" s="46" t="s">
        <v>285</v>
      </c>
    </row>
    <row r="44" spans="1:28" ht="15" customHeight="1" x14ac:dyDescent="0.3">
      <c r="A44" s="46" t="s">
        <v>286</v>
      </c>
      <c r="B44" s="68"/>
      <c r="C44" s="46" t="s">
        <v>193</v>
      </c>
      <c r="D44" s="46" t="s">
        <v>125</v>
      </c>
      <c r="G44" s="1">
        <v>1035035854</v>
      </c>
      <c r="I44" s="5">
        <v>25546</v>
      </c>
      <c r="J44" s="46" t="s">
        <v>287</v>
      </c>
      <c r="K44" s="46" t="s">
        <v>287</v>
      </c>
      <c r="L44" s="52" t="s">
        <v>100</v>
      </c>
      <c r="M44" s="52" t="s">
        <v>320</v>
      </c>
      <c r="N44" s="46" t="s">
        <v>48</v>
      </c>
      <c r="O44" s="10">
        <v>45955</v>
      </c>
      <c r="P44" s="3">
        <v>46319</v>
      </c>
      <c r="Q44" s="1">
        <v>500088095</v>
      </c>
      <c r="R44" s="46" t="s">
        <v>84</v>
      </c>
      <c r="S44" s="1">
        <v>4000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4000</v>
      </c>
      <c r="AA44" s="46" t="s">
        <v>271</v>
      </c>
      <c r="AB44" s="32" t="s">
        <v>218</v>
      </c>
    </row>
    <row r="45" spans="1:28" ht="15" customHeight="1" x14ac:dyDescent="0.3">
      <c r="A45" s="46" t="s">
        <v>288</v>
      </c>
      <c r="B45" s="68"/>
      <c r="C45" s="46" t="s">
        <v>169</v>
      </c>
      <c r="G45" s="1">
        <v>2009345402</v>
      </c>
      <c r="H45" s="5">
        <v>46515</v>
      </c>
      <c r="I45" s="5">
        <v>31809</v>
      </c>
      <c r="K45" s="46" t="s">
        <v>325</v>
      </c>
      <c r="L45" s="52" t="s">
        <v>360</v>
      </c>
      <c r="M45" s="52" t="s">
        <v>361</v>
      </c>
      <c r="N45" s="46" t="s">
        <v>222</v>
      </c>
      <c r="O45" s="10">
        <v>45955</v>
      </c>
      <c r="P45" s="3">
        <v>46319</v>
      </c>
      <c r="Q45" s="1">
        <v>556661224</v>
      </c>
      <c r="R45" s="46" t="s">
        <v>84</v>
      </c>
      <c r="S45" s="1">
        <v>11000</v>
      </c>
      <c r="T45" s="1">
        <v>1250</v>
      </c>
      <c r="U45" s="1">
        <v>2750</v>
      </c>
      <c r="V45" s="1">
        <v>0</v>
      </c>
      <c r="W45" s="1">
        <v>0</v>
      </c>
      <c r="X45" s="1">
        <v>0</v>
      </c>
      <c r="Y45" s="1">
        <v>15000</v>
      </c>
      <c r="AA45" s="46" t="s">
        <v>271</v>
      </c>
      <c r="AB45" s="46" t="s">
        <v>285</v>
      </c>
    </row>
    <row r="46" spans="1:28" ht="15" customHeight="1" x14ac:dyDescent="0.3">
      <c r="A46" s="46" t="s">
        <v>289</v>
      </c>
      <c r="B46" s="68"/>
      <c r="C46" s="46" t="s">
        <v>193</v>
      </c>
      <c r="G46" s="1">
        <v>1110489471</v>
      </c>
      <c r="H46" s="46" t="s">
        <v>290</v>
      </c>
      <c r="I46" s="46" t="s">
        <v>291</v>
      </c>
      <c r="K46" s="46" t="s">
        <v>325</v>
      </c>
      <c r="L46" s="52" t="s">
        <v>326</v>
      </c>
      <c r="M46" s="52" t="s">
        <v>327</v>
      </c>
      <c r="N46" s="1" t="s">
        <v>222</v>
      </c>
      <c r="O46" s="10">
        <v>45955</v>
      </c>
      <c r="P46" s="3">
        <v>46319</v>
      </c>
      <c r="Q46" s="1">
        <v>500088095</v>
      </c>
      <c r="R46" s="46" t="s">
        <v>84</v>
      </c>
      <c r="AA46" s="46" t="s">
        <v>271</v>
      </c>
      <c r="AB46" s="46" t="s">
        <v>285</v>
      </c>
    </row>
    <row r="47" spans="1:28" ht="15" customHeight="1" x14ac:dyDescent="0.3">
      <c r="A47" s="46" t="s">
        <v>292</v>
      </c>
      <c r="B47" s="68"/>
      <c r="C47" s="46" t="s">
        <v>24</v>
      </c>
      <c r="D47" s="46" t="s">
        <v>92</v>
      </c>
      <c r="E47" s="46" t="s">
        <v>317</v>
      </c>
      <c r="F47" s="5">
        <v>48193</v>
      </c>
      <c r="G47" s="1">
        <v>2596659157</v>
      </c>
      <c r="H47" s="46" t="s">
        <v>293</v>
      </c>
      <c r="I47" s="46" t="s">
        <v>294</v>
      </c>
      <c r="K47" s="5">
        <v>45931</v>
      </c>
      <c r="L47" s="52" t="s">
        <v>318</v>
      </c>
      <c r="M47" s="52" t="s">
        <v>319</v>
      </c>
      <c r="N47" s="46" t="s">
        <v>222</v>
      </c>
      <c r="O47" s="10">
        <v>45955</v>
      </c>
      <c r="P47" s="3">
        <v>46319</v>
      </c>
      <c r="Q47" s="1">
        <v>554867964</v>
      </c>
      <c r="R47" s="46" t="s">
        <v>84</v>
      </c>
      <c r="S47" s="1">
        <v>2500</v>
      </c>
      <c r="Y47" s="1">
        <v>2500</v>
      </c>
      <c r="AA47" s="46" t="s">
        <v>271</v>
      </c>
    </row>
    <row r="48" spans="1:28" ht="15" customHeight="1" x14ac:dyDescent="0.3">
      <c r="A48" s="46" t="s">
        <v>295</v>
      </c>
      <c r="B48" s="68"/>
      <c r="C48" s="46" t="s">
        <v>193</v>
      </c>
      <c r="D48" s="46" t="s">
        <v>178</v>
      </c>
      <c r="G48" s="1">
        <v>1034748630</v>
      </c>
      <c r="H48" s="46" t="s">
        <v>296</v>
      </c>
      <c r="I48" s="46" t="s">
        <v>297</v>
      </c>
      <c r="K48" s="5">
        <v>45394</v>
      </c>
      <c r="L48" s="36">
        <v>45728</v>
      </c>
      <c r="M48" s="36">
        <v>46065</v>
      </c>
      <c r="N48" s="46" t="s">
        <v>222</v>
      </c>
      <c r="O48" s="10">
        <v>45955</v>
      </c>
      <c r="P48" s="3">
        <v>46319</v>
      </c>
      <c r="Q48" s="1">
        <v>564255500</v>
      </c>
      <c r="R48" s="46" t="s">
        <v>84</v>
      </c>
      <c r="AA48" s="46" t="s">
        <v>271</v>
      </c>
    </row>
    <row r="49" spans="1:28" ht="15" customHeight="1" x14ac:dyDescent="0.3">
      <c r="A49" s="46" t="s">
        <v>298</v>
      </c>
      <c r="B49" s="68"/>
      <c r="C49" s="46" t="s">
        <v>193</v>
      </c>
      <c r="D49" s="46" t="s">
        <v>299</v>
      </c>
      <c r="G49" s="1">
        <v>1039542574</v>
      </c>
      <c r="H49" s="46" t="s">
        <v>328</v>
      </c>
      <c r="I49" s="46" t="s">
        <v>301</v>
      </c>
      <c r="J49" s="46" t="s">
        <v>300</v>
      </c>
      <c r="K49" s="46" t="s">
        <v>359</v>
      </c>
      <c r="L49" s="49" t="s">
        <v>359</v>
      </c>
      <c r="M49" s="52" t="s">
        <v>300</v>
      </c>
      <c r="N49" s="46" t="s">
        <v>222</v>
      </c>
      <c r="O49" s="10">
        <v>45955</v>
      </c>
      <c r="P49" s="3">
        <v>46319</v>
      </c>
      <c r="Q49" s="1">
        <v>500088095</v>
      </c>
      <c r="R49" s="46" t="s">
        <v>84</v>
      </c>
      <c r="S49" s="1">
        <v>4000</v>
      </c>
      <c r="Y49" s="1">
        <v>4000</v>
      </c>
      <c r="AA49" s="46" t="s">
        <v>271</v>
      </c>
    </row>
    <row r="50" spans="1:28" ht="15" customHeight="1" x14ac:dyDescent="0.3">
      <c r="A50" s="1" t="s">
        <v>306</v>
      </c>
      <c r="C50" s="46" t="s">
        <v>24</v>
      </c>
      <c r="D50" s="46" t="s">
        <v>151</v>
      </c>
      <c r="G50" s="1">
        <v>2591303058</v>
      </c>
      <c r="H50" s="5">
        <v>45843</v>
      </c>
      <c r="I50" s="5">
        <v>34221</v>
      </c>
      <c r="K50" s="5">
        <v>45647</v>
      </c>
      <c r="L50" s="36">
        <v>45647</v>
      </c>
      <c r="M50" s="36">
        <v>46376</v>
      </c>
      <c r="N50" s="32" t="s">
        <v>48</v>
      </c>
      <c r="O50" s="10">
        <v>45955</v>
      </c>
      <c r="P50" s="3">
        <v>46319</v>
      </c>
      <c r="Q50" s="1">
        <v>535488527</v>
      </c>
      <c r="R50" s="46" t="s">
        <v>84</v>
      </c>
      <c r="S50" s="1">
        <v>12000</v>
      </c>
      <c r="Y50" s="1">
        <v>12000</v>
      </c>
      <c r="AA50" s="46" t="s">
        <v>271</v>
      </c>
      <c r="AB50" s="32" t="s">
        <v>218</v>
      </c>
    </row>
    <row r="51" spans="1:28" ht="15" customHeight="1" x14ac:dyDescent="0.3">
      <c r="A51" s="46" t="s">
        <v>321</v>
      </c>
      <c r="B51" s="68"/>
      <c r="C51" s="46" t="s">
        <v>193</v>
      </c>
      <c r="D51" s="1" t="s">
        <v>322</v>
      </c>
      <c r="G51" s="1">
        <v>1040618181</v>
      </c>
      <c r="H51" s="46" t="s">
        <v>323</v>
      </c>
      <c r="I51" s="46" t="s">
        <v>324</v>
      </c>
      <c r="K51" s="46" t="s">
        <v>325</v>
      </c>
      <c r="L51" s="52" t="s">
        <v>326</v>
      </c>
      <c r="M51" s="52" t="s">
        <v>327</v>
      </c>
      <c r="N51" s="46" t="s">
        <v>222</v>
      </c>
      <c r="O51" s="10">
        <v>45955</v>
      </c>
      <c r="P51" s="3">
        <v>46319</v>
      </c>
      <c r="Q51" s="1">
        <v>500088095</v>
      </c>
      <c r="R51" s="46" t="s">
        <v>84</v>
      </c>
      <c r="S51" s="1">
        <v>4000</v>
      </c>
      <c r="Y51" s="1">
        <v>4000</v>
      </c>
      <c r="AA51" s="46" t="s">
        <v>271</v>
      </c>
      <c r="AB51" s="46" t="s">
        <v>285</v>
      </c>
    </row>
    <row r="52" spans="1:28" ht="15" customHeight="1" x14ac:dyDescent="0.3">
      <c r="A52" s="46" t="s">
        <v>337</v>
      </c>
      <c r="C52" s="46" t="s">
        <v>193</v>
      </c>
      <c r="D52" s="1" t="s">
        <v>322</v>
      </c>
      <c r="G52" s="1">
        <v>1067820074</v>
      </c>
      <c r="H52" s="46" t="s">
        <v>338</v>
      </c>
      <c r="I52" s="5">
        <v>29343</v>
      </c>
      <c r="K52" s="46" t="s">
        <v>339</v>
      </c>
      <c r="L52" s="52" t="s">
        <v>340</v>
      </c>
      <c r="M52" s="52" t="s">
        <v>341</v>
      </c>
      <c r="N52" s="46" t="s">
        <v>222</v>
      </c>
      <c r="O52" s="10">
        <v>45955</v>
      </c>
      <c r="P52" s="3">
        <v>46319</v>
      </c>
      <c r="Q52" s="1">
        <v>539395502</v>
      </c>
      <c r="R52" s="46" t="s">
        <v>84</v>
      </c>
      <c r="S52" s="1">
        <v>6000</v>
      </c>
      <c r="Y52" s="1">
        <v>6000</v>
      </c>
      <c r="AA52" s="46" t="s">
        <v>271</v>
      </c>
      <c r="AB52" s="46" t="s">
        <v>285</v>
      </c>
    </row>
    <row r="53" spans="1:28" ht="15" customHeight="1" x14ac:dyDescent="0.3">
      <c r="A53" s="46" t="s">
        <v>351</v>
      </c>
      <c r="C53" s="46" t="s">
        <v>169</v>
      </c>
      <c r="E53" s="46" t="s">
        <v>352</v>
      </c>
      <c r="F53" s="46" t="s">
        <v>314</v>
      </c>
      <c r="G53" s="1">
        <v>2425862600</v>
      </c>
      <c r="H53" s="46" t="s">
        <v>353</v>
      </c>
      <c r="I53" s="5">
        <v>27458</v>
      </c>
      <c r="K53" s="46" t="s">
        <v>354</v>
      </c>
      <c r="L53" s="52" t="s">
        <v>355</v>
      </c>
      <c r="M53" s="52" t="s">
        <v>356</v>
      </c>
      <c r="N53" s="46" t="s">
        <v>222</v>
      </c>
      <c r="O53" s="10">
        <v>45955</v>
      </c>
      <c r="P53" s="3">
        <v>46319</v>
      </c>
      <c r="Q53" s="1">
        <v>537180945</v>
      </c>
      <c r="R53" s="46" t="s">
        <v>84</v>
      </c>
      <c r="S53" s="1">
        <v>2500</v>
      </c>
      <c r="Y53" s="1">
        <v>2500</v>
      </c>
      <c r="AA53" s="46" t="s">
        <v>271</v>
      </c>
      <c r="AB53" s="46" t="s">
        <v>285</v>
      </c>
    </row>
    <row r="54" spans="1:28" ht="15" customHeight="1" x14ac:dyDescent="0.3">
      <c r="M54" s="28"/>
    </row>
    <row r="55" spans="1:28" ht="15" customHeight="1" x14ac:dyDescent="0.3">
      <c r="M55" s="28"/>
    </row>
  </sheetData>
  <autoFilter ref="A1:AA17" xr:uid="{00000000-0009-0000-0000-000000000000}"/>
  <phoneticPr fontId="16" type="noConversion"/>
  <conditionalFormatting sqref="K1:K1048576 L42">
    <cfRule type="expression" dxfId="9" priority="7">
      <formula>AND(G-TODAY()&lt;=60, G-TODAY()&gt;0)</formula>
    </cfRule>
  </conditionalFormatting>
  <conditionalFormatting sqref="H1:H11 H13:H1048576">
    <cfRule type="expression" dxfId="6" priority="2">
      <formula>AND(H-TODAY()&lt;=30, H-TODAY()&gt;0)</formula>
    </cfRule>
  </conditionalFormatting>
  <conditionalFormatting sqref="H12">
    <cfRule type="expression" dxfId="5" priority="1">
      <formula>AND(H-TODAY()&lt;=30, H-TODAY()&gt;0)</formula>
    </cfRule>
  </conditionalFormatting>
  <pageMargins left="0.7" right="0.7" top="0.75" bottom="0.75" header="0" footer="0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42F6A3-18E9-420A-987D-07AFEEF1FD49}">
  <dimension ref="A1:AD5"/>
  <sheetViews>
    <sheetView workbookViewId="0">
      <selection activeCell="A4" sqref="A4"/>
    </sheetView>
  </sheetViews>
  <sheetFormatPr defaultColWidth="14.44140625" defaultRowHeight="14.4" x14ac:dyDescent="0.3"/>
  <cols>
    <col min="1" max="1" width="38.6640625" style="1" bestFit="1" customWidth="1"/>
    <col min="2" max="2" width="28.5546875" style="1" customWidth="1"/>
    <col min="3" max="3" width="29.5546875" style="1" bestFit="1" customWidth="1"/>
    <col min="4" max="27" width="28.5546875" style="1" customWidth="1"/>
    <col min="28" max="28" width="28.5546875" style="1" bestFit="1" customWidth="1"/>
    <col min="29" max="29" width="21.109375" style="18" customWidth="1"/>
    <col min="30" max="16384" width="14.44140625" style="1"/>
  </cols>
  <sheetData>
    <row r="1" spans="1:30" x14ac:dyDescent="0.3">
      <c r="A1" s="14" t="s">
        <v>0</v>
      </c>
      <c r="B1" s="15" t="s">
        <v>1</v>
      </c>
      <c r="C1" s="15" t="s">
        <v>2</v>
      </c>
      <c r="D1" s="15" t="s">
        <v>3</v>
      </c>
      <c r="E1" s="15" t="s">
        <v>4</v>
      </c>
      <c r="F1" s="15" t="s">
        <v>18</v>
      </c>
      <c r="G1" s="15" t="s">
        <v>47</v>
      </c>
      <c r="H1" s="15" t="s">
        <v>5</v>
      </c>
      <c r="I1" s="15" t="s">
        <v>22</v>
      </c>
      <c r="J1" s="15" t="s">
        <v>19</v>
      </c>
      <c r="K1" s="15" t="s">
        <v>20</v>
      </c>
      <c r="L1" s="15" t="s">
        <v>6</v>
      </c>
      <c r="M1" s="15" t="s">
        <v>7</v>
      </c>
      <c r="N1" s="15" t="s">
        <v>8</v>
      </c>
      <c r="O1" s="15" t="s">
        <v>51</v>
      </c>
      <c r="P1" s="15" t="s">
        <v>52</v>
      </c>
      <c r="Q1" s="15" t="s">
        <v>9</v>
      </c>
      <c r="R1" s="15" t="s">
        <v>10</v>
      </c>
      <c r="S1" s="15" t="s">
        <v>11</v>
      </c>
      <c r="T1" s="15" t="s">
        <v>12</v>
      </c>
      <c r="U1" s="15" t="s">
        <v>13</v>
      </c>
      <c r="V1" s="15" t="s">
        <v>45</v>
      </c>
      <c r="W1" s="15" t="s">
        <v>14</v>
      </c>
      <c r="X1" s="15" t="s">
        <v>15</v>
      </c>
      <c r="Y1" s="15" t="s">
        <v>16</v>
      </c>
      <c r="Z1" s="15" t="s">
        <v>23</v>
      </c>
      <c r="AA1" s="15" t="s">
        <v>17</v>
      </c>
      <c r="AB1" s="15" t="s">
        <v>122</v>
      </c>
      <c r="AC1" s="17" t="s">
        <v>123</v>
      </c>
    </row>
    <row r="2" spans="1:30" ht="15" customHeight="1" x14ac:dyDescent="0.3">
      <c r="A2" s="19" t="s">
        <v>198</v>
      </c>
      <c r="B2" s="1" t="s">
        <v>24</v>
      </c>
      <c r="C2" s="1" t="s">
        <v>117</v>
      </c>
      <c r="D2" s="1" t="s">
        <v>95</v>
      </c>
      <c r="E2" s="5">
        <v>46693</v>
      </c>
      <c r="F2" s="3">
        <v>45870</v>
      </c>
      <c r="G2" s="3">
        <v>45870</v>
      </c>
      <c r="H2" s="5">
        <v>45047</v>
      </c>
      <c r="I2" s="1" t="s">
        <v>105</v>
      </c>
      <c r="J2" s="1">
        <v>2508888589</v>
      </c>
      <c r="K2" s="3">
        <v>46008</v>
      </c>
      <c r="L2" s="10">
        <v>45955</v>
      </c>
      <c r="M2" s="3">
        <v>46319</v>
      </c>
      <c r="N2" s="1">
        <v>595434248</v>
      </c>
      <c r="O2" s="1" t="s">
        <v>84</v>
      </c>
      <c r="Q2" s="1">
        <v>5000</v>
      </c>
      <c r="X2" s="1">
        <f t="shared" ref="X2:X4" si="0">SUM(Q2:W2)</f>
        <v>5000</v>
      </c>
      <c r="Y2" s="1" t="s">
        <v>53</v>
      </c>
      <c r="Z2" s="1" t="b">
        <v>0</v>
      </c>
      <c r="AA2" s="3">
        <v>45708</v>
      </c>
      <c r="AB2" t="s">
        <v>135</v>
      </c>
      <c r="AC2" s="18">
        <v>965</v>
      </c>
    </row>
    <row r="3" spans="1:30" ht="15" customHeight="1" x14ac:dyDescent="0.3">
      <c r="A3" s="19" t="s">
        <v>197</v>
      </c>
      <c r="B3" s="1" t="s">
        <v>24</v>
      </c>
      <c r="C3" s="1" t="s">
        <v>106</v>
      </c>
      <c r="D3" s="1" t="s">
        <v>107</v>
      </c>
      <c r="E3" s="3" t="s">
        <v>108</v>
      </c>
      <c r="F3" s="3">
        <v>45870</v>
      </c>
      <c r="G3" s="3">
        <v>45870</v>
      </c>
      <c r="H3" s="5">
        <v>45870</v>
      </c>
      <c r="I3" s="1" t="s">
        <v>48</v>
      </c>
      <c r="J3" s="1">
        <v>2508393630</v>
      </c>
      <c r="K3" s="3" t="s">
        <v>141</v>
      </c>
      <c r="L3" s="10">
        <v>45955</v>
      </c>
      <c r="M3" s="3">
        <v>46319</v>
      </c>
      <c r="N3" s="1">
        <v>555159114</v>
      </c>
      <c r="O3" s="1" t="s">
        <v>84</v>
      </c>
      <c r="P3" s="1" t="s">
        <v>21</v>
      </c>
      <c r="Q3" s="1">
        <v>6000</v>
      </c>
      <c r="X3" s="1">
        <f t="shared" si="0"/>
        <v>6000</v>
      </c>
      <c r="Y3" s="1" t="s">
        <v>53</v>
      </c>
      <c r="Z3" s="1" t="b">
        <v>0</v>
      </c>
      <c r="AA3" s="3">
        <v>27331</v>
      </c>
      <c r="AB3" s="1" t="s">
        <v>133</v>
      </c>
      <c r="AC3" s="18">
        <v>985</v>
      </c>
    </row>
    <row r="4" spans="1:30" ht="15" customHeight="1" x14ac:dyDescent="0.3">
      <c r="A4" s="20" t="s">
        <v>25</v>
      </c>
      <c r="B4" s="2" t="s">
        <v>24</v>
      </c>
      <c r="C4" s="2" t="s">
        <v>32</v>
      </c>
      <c r="D4" s="1" t="s">
        <v>58</v>
      </c>
      <c r="E4" s="1" t="s">
        <v>59</v>
      </c>
      <c r="F4" s="3">
        <v>45872</v>
      </c>
      <c r="G4" s="3" t="s">
        <v>60</v>
      </c>
      <c r="H4" s="5">
        <v>45724</v>
      </c>
      <c r="I4" s="1" t="s">
        <v>48</v>
      </c>
      <c r="J4" s="1">
        <v>2549990501</v>
      </c>
      <c r="K4" s="3">
        <v>45934</v>
      </c>
      <c r="M4" s="3"/>
      <c r="N4" s="1">
        <v>534335488</v>
      </c>
      <c r="P4" s="1" t="s">
        <v>21</v>
      </c>
      <c r="Q4" s="1">
        <v>4000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f t="shared" si="0"/>
        <v>4000</v>
      </c>
      <c r="Y4" s="1" t="s">
        <v>53</v>
      </c>
      <c r="Z4" s="1" t="b">
        <v>0</v>
      </c>
      <c r="AA4" s="3" t="s">
        <v>57</v>
      </c>
      <c r="AB4" t="s">
        <v>136</v>
      </c>
      <c r="AC4" s="18">
        <v>945</v>
      </c>
    </row>
    <row r="5" spans="1:30" ht="15" customHeight="1" x14ac:dyDescent="0.3">
      <c r="X5" s="1">
        <f>SUM(X2:X4)</f>
        <v>15000</v>
      </c>
      <c r="AC5" s="18">
        <f>SUM(AC2:AC4)</f>
        <v>2895</v>
      </c>
      <c r="AD5" s="18">
        <f>AC5+X5</f>
        <v>17895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F333B0-EAB0-49B8-A527-562F6C70E736}">
  <dimension ref="A1:AD5"/>
  <sheetViews>
    <sheetView workbookViewId="0">
      <selection activeCell="A5" sqref="A5"/>
    </sheetView>
  </sheetViews>
  <sheetFormatPr defaultColWidth="14.44140625" defaultRowHeight="14.4" x14ac:dyDescent="0.3"/>
  <cols>
    <col min="1" max="1" width="38.6640625" style="1" bestFit="1" customWidth="1"/>
    <col min="2" max="2" width="28.5546875" style="1" customWidth="1"/>
    <col min="3" max="3" width="29.5546875" style="1" bestFit="1" customWidth="1"/>
    <col min="4" max="27" width="28.5546875" style="1" customWidth="1"/>
    <col min="28" max="28" width="28.5546875" style="1" bestFit="1" customWidth="1"/>
    <col min="29" max="29" width="21.109375" style="18" customWidth="1"/>
    <col min="30" max="16384" width="14.44140625" style="1"/>
  </cols>
  <sheetData>
    <row r="1" spans="1:30" x14ac:dyDescent="0.3">
      <c r="A1" s="14" t="s">
        <v>0</v>
      </c>
      <c r="B1" s="15" t="s">
        <v>1</v>
      </c>
      <c r="C1" s="15" t="s">
        <v>2</v>
      </c>
      <c r="D1" s="15" t="s">
        <v>3</v>
      </c>
      <c r="E1" s="15" t="s">
        <v>4</v>
      </c>
      <c r="F1" s="15" t="s">
        <v>18</v>
      </c>
      <c r="G1" s="15" t="s">
        <v>47</v>
      </c>
      <c r="H1" s="15" t="s">
        <v>5</v>
      </c>
      <c r="I1" s="15" t="s">
        <v>22</v>
      </c>
      <c r="J1" s="15" t="s">
        <v>19</v>
      </c>
      <c r="K1" s="15" t="s">
        <v>20</v>
      </c>
      <c r="L1" s="15" t="s">
        <v>6</v>
      </c>
      <c r="M1" s="15" t="s">
        <v>7</v>
      </c>
      <c r="N1" s="15" t="s">
        <v>8</v>
      </c>
      <c r="O1" s="15" t="s">
        <v>51</v>
      </c>
      <c r="P1" s="15" t="s">
        <v>52</v>
      </c>
      <c r="Q1" s="15" t="s">
        <v>9</v>
      </c>
      <c r="R1" s="15" t="s">
        <v>10</v>
      </c>
      <c r="S1" s="15" t="s">
        <v>11</v>
      </c>
      <c r="T1" s="15" t="s">
        <v>12</v>
      </c>
      <c r="U1" s="15" t="s">
        <v>13</v>
      </c>
      <c r="V1" s="15" t="s">
        <v>45</v>
      </c>
      <c r="W1" s="15" t="s">
        <v>14</v>
      </c>
      <c r="X1" s="15" t="s">
        <v>15</v>
      </c>
      <c r="Y1" s="15" t="s">
        <v>16</v>
      </c>
      <c r="Z1" s="15" t="s">
        <v>23</v>
      </c>
      <c r="AA1" s="15" t="s">
        <v>17</v>
      </c>
      <c r="AB1" s="15" t="s">
        <v>122</v>
      </c>
      <c r="AC1" s="17" t="s">
        <v>123</v>
      </c>
    </row>
    <row r="2" spans="1:30" ht="15" customHeight="1" x14ac:dyDescent="0.3">
      <c r="A2" s="20" t="s">
        <v>38</v>
      </c>
      <c r="B2" s="6" t="s">
        <v>24</v>
      </c>
      <c r="C2" s="2" t="s">
        <v>39</v>
      </c>
      <c r="D2" s="1" t="s">
        <v>62</v>
      </c>
      <c r="E2" s="5">
        <v>48100</v>
      </c>
      <c r="F2" s="3">
        <v>45870</v>
      </c>
      <c r="G2" s="3">
        <v>45873</v>
      </c>
      <c r="H2" s="5">
        <v>45873</v>
      </c>
      <c r="I2" s="1" t="s">
        <v>48</v>
      </c>
      <c r="J2" s="1">
        <v>2032968865</v>
      </c>
      <c r="K2" s="3" t="s">
        <v>63</v>
      </c>
      <c r="M2" s="3"/>
      <c r="N2" s="1">
        <v>567360306</v>
      </c>
      <c r="P2" s="1" t="s">
        <v>21</v>
      </c>
      <c r="Q2" s="1">
        <v>10000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10000</v>
      </c>
      <c r="Y2" s="1" t="s">
        <v>53</v>
      </c>
      <c r="Z2" s="1" t="b">
        <v>0</v>
      </c>
      <c r="AA2" s="3">
        <v>29133</v>
      </c>
      <c r="AB2" t="s">
        <v>138</v>
      </c>
      <c r="AC2" s="18">
        <v>1065</v>
      </c>
    </row>
    <row r="3" spans="1:30" ht="15" customHeight="1" x14ac:dyDescent="0.3">
      <c r="A3" s="21" t="s">
        <v>150</v>
      </c>
      <c r="B3" s="11" t="s">
        <v>24</v>
      </c>
      <c r="C3" s="11" t="s">
        <v>151</v>
      </c>
      <c r="D3" s="1" t="s">
        <v>173</v>
      </c>
      <c r="E3" s="5">
        <v>47623</v>
      </c>
      <c r="F3" s="3">
        <v>45913</v>
      </c>
      <c r="G3" s="3">
        <v>45913</v>
      </c>
      <c r="H3" s="3">
        <v>45913</v>
      </c>
      <c r="I3" s="1" t="s">
        <v>48</v>
      </c>
      <c r="J3" s="1">
        <v>2592013912</v>
      </c>
      <c r="K3" s="3">
        <v>46004</v>
      </c>
      <c r="L3" s="10">
        <v>45955</v>
      </c>
      <c r="M3" s="3">
        <v>46319</v>
      </c>
      <c r="N3" s="1">
        <v>570195070</v>
      </c>
      <c r="O3" s="11" t="s">
        <v>84</v>
      </c>
      <c r="P3" s="11" t="s">
        <v>21</v>
      </c>
      <c r="Q3" s="1">
        <v>6000</v>
      </c>
      <c r="S3" s="1">
        <v>1000</v>
      </c>
      <c r="T3" s="1">
        <v>1000</v>
      </c>
      <c r="X3" s="1">
        <f t="shared" ref="X3" si="0">SUM(Q3:W3)</f>
        <v>8000</v>
      </c>
      <c r="Y3" s="11" t="s">
        <v>53</v>
      </c>
      <c r="Z3" s="11" t="b">
        <v>0</v>
      </c>
      <c r="AA3" s="10" t="s">
        <v>152</v>
      </c>
      <c r="AB3" t="s">
        <v>136</v>
      </c>
      <c r="AC3" s="18">
        <v>1025</v>
      </c>
    </row>
    <row r="4" spans="1:30" ht="15" customHeight="1" x14ac:dyDescent="0.3">
      <c r="A4" s="19" t="s">
        <v>187</v>
      </c>
      <c r="B4" s="1" t="s">
        <v>24</v>
      </c>
      <c r="C4" s="1" t="s">
        <v>185</v>
      </c>
      <c r="D4" s="1" t="s">
        <v>188</v>
      </c>
      <c r="E4" s="5">
        <v>48403</v>
      </c>
      <c r="F4" s="5">
        <v>45962</v>
      </c>
      <c r="G4" s="5">
        <v>45976</v>
      </c>
      <c r="H4" s="5">
        <v>45976</v>
      </c>
      <c r="I4" s="1" t="s">
        <v>48</v>
      </c>
      <c r="J4" s="1">
        <v>2272241064</v>
      </c>
      <c r="K4" s="5">
        <v>46078</v>
      </c>
      <c r="L4" s="10">
        <v>45956</v>
      </c>
      <c r="M4" s="3">
        <v>46319</v>
      </c>
      <c r="N4" s="1">
        <v>563016078</v>
      </c>
      <c r="O4" s="1" t="s">
        <v>84</v>
      </c>
      <c r="P4" s="1" t="s">
        <v>21</v>
      </c>
      <c r="Q4" s="1">
        <v>10000</v>
      </c>
      <c r="S4" s="1">
        <v>5000</v>
      </c>
      <c r="T4" s="1">
        <v>5000</v>
      </c>
      <c r="W4" s="1">
        <v>10000</v>
      </c>
      <c r="X4" s="1">
        <f t="shared" ref="X4" si="1">SUM(Q4:W4)</f>
        <v>30000</v>
      </c>
      <c r="Y4" s="1" t="s">
        <v>53</v>
      </c>
      <c r="Z4" s="1" t="b">
        <v>0</v>
      </c>
      <c r="AA4" s="5">
        <v>29063</v>
      </c>
      <c r="AB4" s="11" t="s">
        <v>136</v>
      </c>
      <c r="AC4" s="18">
        <v>1465</v>
      </c>
    </row>
    <row r="5" spans="1:30" ht="15" customHeight="1" x14ac:dyDescent="0.3">
      <c r="X5" s="1">
        <f>SUM(X2:X4)</f>
        <v>48000</v>
      </c>
      <c r="AC5" s="18">
        <f>SUM(AC2:AC4)</f>
        <v>3555</v>
      </c>
      <c r="AD5" s="18">
        <f>AC5+X5</f>
        <v>51555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5D86AF-313F-4F0C-B106-06420AE75112}">
  <dimension ref="A1:AD11"/>
  <sheetViews>
    <sheetView workbookViewId="0">
      <selection activeCell="O10" sqref="O10"/>
    </sheetView>
  </sheetViews>
  <sheetFormatPr defaultColWidth="14.44140625" defaultRowHeight="14.4" x14ac:dyDescent="0.3"/>
  <cols>
    <col min="1" max="1" width="38.6640625" style="1" bestFit="1" customWidth="1"/>
    <col min="2" max="2" width="28.5546875" style="1" customWidth="1"/>
    <col min="3" max="3" width="29.5546875" style="1" bestFit="1" customWidth="1"/>
    <col min="4" max="27" width="28.5546875" style="1" customWidth="1"/>
    <col min="28" max="28" width="28.5546875" style="1" bestFit="1" customWidth="1"/>
    <col min="29" max="29" width="21.109375" style="18" customWidth="1"/>
    <col min="30" max="16384" width="14.44140625" style="1"/>
  </cols>
  <sheetData>
    <row r="1" spans="1:30" x14ac:dyDescent="0.3">
      <c r="A1" s="14" t="s">
        <v>0</v>
      </c>
      <c r="B1" s="15" t="s">
        <v>1</v>
      </c>
      <c r="C1" s="15" t="s">
        <v>2</v>
      </c>
      <c r="D1" s="15" t="s">
        <v>3</v>
      </c>
      <c r="E1" s="15" t="s">
        <v>4</v>
      </c>
      <c r="F1" s="15" t="s">
        <v>18</v>
      </c>
      <c r="G1" s="15" t="s">
        <v>47</v>
      </c>
      <c r="H1" s="15" t="s">
        <v>5</v>
      </c>
      <c r="I1" s="15" t="s">
        <v>22</v>
      </c>
      <c r="J1" s="15" t="s">
        <v>19</v>
      </c>
      <c r="K1" s="15" t="s">
        <v>20</v>
      </c>
      <c r="L1" s="15" t="s">
        <v>6</v>
      </c>
      <c r="M1" s="15" t="s">
        <v>7</v>
      </c>
      <c r="N1" s="15" t="s">
        <v>8</v>
      </c>
      <c r="O1" s="15" t="s">
        <v>51</v>
      </c>
      <c r="P1" s="15" t="s">
        <v>52</v>
      </c>
      <c r="Q1" s="15" t="s">
        <v>9</v>
      </c>
      <c r="R1" s="15" t="s">
        <v>10</v>
      </c>
      <c r="S1" s="15" t="s">
        <v>11</v>
      </c>
      <c r="T1" s="15" t="s">
        <v>12</v>
      </c>
      <c r="U1" s="15" t="s">
        <v>13</v>
      </c>
      <c r="V1" s="15" t="s">
        <v>45</v>
      </c>
      <c r="W1" s="15" t="s">
        <v>14</v>
      </c>
      <c r="X1" s="15" t="s">
        <v>15</v>
      </c>
      <c r="Y1" s="15" t="s">
        <v>16</v>
      </c>
      <c r="Z1" s="15" t="s">
        <v>23</v>
      </c>
      <c r="AA1" s="15" t="s">
        <v>17</v>
      </c>
      <c r="AB1" s="15" t="s">
        <v>122</v>
      </c>
      <c r="AC1" s="17" t="s">
        <v>123</v>
      </c>
    </row>
    <row r="2" spans="1:30" ht="15" customHeight="1" x14ac:dyDescent="0.3">
      <c r="A2" s="22" t="s">
        <v>44</v>
      </c>
      <c r="B2" s="2" t="s">
        <v>29</v>
      </c>
      <c r="C2" s="4" t="s">
        <v>31</v>
      </c>
      <c r="D2" s="1" t="s">
        <v>46</v>
      </c>
      <c r="E2" s="1" t="s">
        <v>109</v>
      </c>
      <c r="F2" s="3">
        <v>45870</v>
      </c>
      <c r="G2" s="3">
        <v>45665</v>
      </c>
      <c r="H2" s="5">
        <v>45416</v>
      </c>
      <c r="I2" s="1" t="s">
        <v>48</v>
      </c>
      <c r="J2" s="1">
        <v>2138011735</v>
      </c>
      <c r="K2" s="3" t="s">
        <v>49</v>
      </c>
      <c r="L2" s="1">
        <v>0</v>
      </c>
      <c r="M2" s="3"/>
      <c r="N2" s="1">
        <v>556513337</v>
      </c>
      <c r="O2" s="1" t="s">
        <v>50</v>
      </c>
      <c r="P2" s="1" t="s">
        <v>21</v>
      </c>
      <c r="Q2" s="1">
        <v>16000</v>
      </c>
      <c r="R2" s="1">
        <v>0</v>
      </c>
      <c r="S2" s="1">
        <v>2100</v>
      </c>
      <c r="T2" s="1">
        <v>4000</v>
      </c>
      <c r="U2" s="1">
        <v>400</v>
      </c>
      <c r="W2" s="1">
        <v>0</v>
      </c>
      <c r="X2" s="1">
        <f t="shared" ref="X2:X3" si="0">SUM(Q2:W2)</f>
        <v>22500</v>
      </c>
      <c r="Y2" s="1" t="s">
        <v>53</v>
      </c>
      <c r="Z2" s="1" t="b">
        <v>0</v>
      </c>
      <c r="AA2" s="3">
        <v>24108</v>
      </c>
      <c r="AB2" t="s">
        <v>137</v>
      </c>
      <c r="AC2" s="18">
        <v>1315</v>
      </c>
    </row>
    <row r="3" spans="1:30" ht="15" customHeight="1" x14ac:dyDescent="0.3">
      <c r="A3" s="20" t="s">
        <v>27</v>
      </c>
      <c r="B3" s="2" t="s">
        <v>29</v>
      </c>
      <c r="C3" s="2" t="s">
        <v>41</v>
      </c>
      <c r="D3" s="1" t="s">
        <v>72</v>
      </c>
      <c r="E3" s="1" t="s">
        <v>73</v>
      </c>
      <c r="F3" s="3">
        <v>45870</v>
      </c>
      <c r="G3" s="3">
        <v>45870</v>
      </c>
      <c r="H3" s="5">
        <v>45298</v>
      </c>
      <c r="I3" s="1" t="s">
        <v>48</v>
      </c>
      <c r="J3" s="1">
        <v>2130590983</v>
      </c>
      <c r="K3" s="3">
        <v>45581</v>
      </c>
      <c r="M3" s="3"/>
      <c r="N3" s="1">
        <v>569195150</v>
      </c>
      <c r="P3" s="1" t="s">
        <v>21</v>
      </c>
      <c r="Q3" s="1">
        <v>7000</v>
      </c>
      <c r="R3" s="1">
        <v>0</v>
      </c>
      <c r="S3" s="1">
        <v>1000</v>
      </c>
      <c r="T3" s="1">
        <v>2000</v>
      </c>
      <c r="X3" s="1">
        <f t="shared" si="0"/>
        <v>10000</v>
      </c>
      <c r="Y3" s="1" t="s">
        <v>53</v>
      </c>
      <c r="Z3" s="1" t="b">
        <v>0</v>
      </c>
      <c r="AA3" s="3" t="s">
        <v>74</v>
      </c>
      <c r="AB3" t="s">
        <v>136</v>
      </c>
      <c r="AC3" s="18">
        <v>1065</v>
      </c>
    </row>
    <row r="4" spans="1:30" ht="15" customHeight="1" x14ac:dyDescent="0.3">
      <c r="A4" s="19" t="s">
        <v>110</v>
      </c>
      <c r="B4" s="1" t="s">
        <v>28</v>
      </c>
      <c r="C4" s="1" t="s">
        <v>82</v>
      </c>
      <c r="D4" s="1" t="s">
        <v>111</v>
      </c>
      <c r="E4" s="5">
        <v>48042</v>
      </c>
      <c r="F4" s="3">
        <v>45892</v>
      </c>
      <c r="G4" s="3">
        <v>45892</v>
      </c>
      <c r="H4" s="3">
        <v>45892</v>
      </c>
      <c r="I4" s="1" t="s">
        <v>48</v>
      </c>
      <c r="J4" s="1">
        <v>2508918865</v>
      </c>
      <c r="K4" s="3">
        <v>46176</v>
      </c>
      <c r="M4" s="3"/>
      <c r="N4" s="1">
        <v>570849582</v>
      </c>
      <c r="P4" s="1" t="s">
        <v>21</v>
      </c>
      <c r="Q4" s="1">
        <v>0</v>
      </c>
      <c r="W4" s="1">
        <v>0</v>
      </c>
      <c r="X4" s="1">
        <v>2000</v>
      </c>
      <c r="Y4" s="1" t="s">
        <v>53</v>
      </c>
      <c r="Z4" s="1" t="b">
        <v>0</v>
      </c>
      <c r="AA4" s="3">
        <v>36161</v>
      </c>
      <c r="AB4" t="s">
        <v>136</v>
      </c>
      <c r="AC4" s="18">
        <v>905</v>
      </c>
    </row>
    <row r="5" spans="1:30" ht="15" customHeight="1" x14ac:dyDescent="0.3">
      <c r="A5" s="19" t="s">
        <v>112</v>
      </c>
      <c r="B5" s="1" t="s">
        <v>77</v>
      </c>
      <c r="C5" s="1" t="s">
        <v>82</v>
      </c>
      <c r="D5" s="1" t="s">
        <v>113</v>
      </c>
      <c r="E5" s="5">
        <v>47187</v>
      </c>
      <c r="F5" s="3">
        <v>45888</v>
      </c>
      <c r="G5" s="3">
        <v>45888</v>
      </c>
      <c r="H5" s="5">
        <v>45888</v>
      </c>
      <c r="I5" s="1" t="s">
        <v>48</v>
      </c>
      <c r="J5" s="1">
        <v>2590727612</v>
      </c>
      <c r="K5" s="3">
        <v>46074</v>
      </c>
      <c r="M5" s="3"/>
      <c r="N5" s="1">
        <v>597943621</v>
      </c>
      <c r="P5" s="1" t="s">
        <v>21</v>
      </c>
      <c r="Q5" s="1">
        <v>0</v>
      </c>
      <c r="W5" s="1">
        <v>0</v>
      </c>
      <c r="X5" s="1">
        <v>2000</v>
      </c>
      <c r="Y5" s="1" t="s">
        <v>53</v>
      </c>
      <c r="Z5" s="1" t="b">
        <v>0</v>
      </c>
      <c r="AA5" s="3">
        <v>36678</v>
      </c>
      <c r="AB5" t="s">
        <v>136</v>
      </c>
      <c r="AC5" s="18">
        <v>905</v>
      </c>
    </row>
    <row r="6" spans="1:30" ht="15" customHeight="1" x14ac:dyDescent="0.3">
      <c r="A6" s="19" t="s">
        <v>114</v>
      </c>
      <c r="B6" s="1" t="s">
        <v>28</v>
      </c>
      <c r="C6" s="1" t="s">
        <v>82</v>
      </c>
      <c r="D6" s="1" t="s">
        <v>115</v>
      </c>
      <c r="E6" s="1" t="s">
        <v>116</v>
      </c>
      <c r="F6" s="3">
        <v>45883</v>
      </c>
      <c r="G6" s="3">
        <v>45883</v>
      </c>
      <c r="H6" s="3">
        <v>45883</v>
      </c>
      <c r="I6" s="1" t="s">
        <v>48</v>
      </c>
      <c r="J6" s="1">
        <v>2560623478</v>
      </c>
      <c r="K6" s="3">
        <v>45689</v>
      </c>
      <c r="M6" s="3"/>
      <c r="N6" s="1">
        <v>552123951</v>
      </c>
      <c r="P6" s="1" t="s">
        <v>21</v>
      </c>
      <c r="Q6" s="1">
        <v>0</v>
      </c>
      <c r="W6" s="1">
        <v>0</v>
      </c>
      <c r="X6" s="1">
        <v>2000</v>
      </c>
      <c r="Y6" s="1" t="s">
        <v>53</v>
      </c>
      <c r="Z6" s="1" t="b">
        <v>0</v>
      </c>
      <c r="AA6" s="3">
        <v>36743</v>
      </c>
      <c r="AB6" t="s">
        <v>136</v>
      </c>
      <c r="AC6" s="18">
        <v>905</v>
      </c>
    </row>
    <row r="7" spans="1:30" ht="14.4" customHeight="1" x14ac:dyDescent="0.3">
      <c r="A7" s="19" t="s">
        <v>129</v>
      </c>
      <c r="B7" s="1" t="s">
        <v>24</v>
      </c>
      <c r="C7" t="s">
        <v>130</v>
      </c>
      <c r="D7" s="1" t="s">
        <v>131</v>
      </c>
      <c r="E7" s="1" t="s">
        <v>132</v>
      </c>
      <c r="F7" s="3">
        <v>45870</v>
      </c>
      <c r="G7" s="3">
        <v>45870</v>
      </c>
      <c r="H7" s="5">
        <v>45413</v>
      </c>
      <c r="I7" s="1" t="s">
        <v>48</v>
      </c>
      <c r="J7" s="1">
        <v>2556899637</v>
      </c>
      <c r="K7" s="3">
        <v>45999</v>
      </c>
      <c r="M7" s="3"/>
      <c r="N7" s="1">
        <v>563009146</v>
      </c>
      <c r="P7" s="1" t="s">
        <v>21</v>
      </c>
      <c r="Q7" s="1">
        <v>6000</v>
      </c>
      <c r="X7" s="1">
        <v>6000</v>
      </c>
      <c r="Y7" s="1" t="s">
        <v>53</v>
      </c>
      <c r="Z7" s="1" t="b">
        <v>0</v>
      </c>
      <c r="AA7" s="3">
        <v>36268</v>
      </c>
      <c r="AB7" t="s">
        <v>139</v>
      </c>
      <c r="AC7" s="18">
        <v>985</v>
      </c>
    </row>
    <row r="8" spans="1:30" ht="15" customHeight="1" x14ac:dyDescent="0.3">
      <c r="A8" s="19" t="s">
        <v>174</v>
      </c>
      <c r="B8" s="1" t="s">
        <v>29</v>
      </c>
      <c r="C8" s="1" t="s">
        <v>175</v>
      </c>
      <c r="D8" s="1" t="s">
        <v>176</v>
      </c>
      <c r="E8" s="5">
        <v>48061</v>
      </c>
      <c r="F8" s="3">
        <v>45895</v>
      </c>
      <c r="G8" s="3">
        <v>45895</v>
      </c>
      <c r="H8" s="3">
        <v>45895</v>
      </c>
      <c r="I8" s="1" t="s">
        <v>48</v>
      </c>
      <c r="J8" s="1">
        <v>25879338875</v>
      </c>
      <c r="K8" s="13">
        <v>46020</v>
      </c>
      <c r="L8" s="10">
        <v>45955</v>
      </c>
      <c r="M8" s="3">
        <v>46319</v>
      </c>
      <c r="N8" s="1">
        <v>534288593</v>
      </c>
      <c r="O8" s="1" t="s">
        <v>84</v>
      </c>
      <c r="P8" s="1" t="s">
        <v>21</v>
      </c>
      <c r="Q8" s="1">
        <v>6000</v>
      </c>
      <c r="X8" s="1">
        <f t="shared" ref="X8:X10" si="1">SUM(Q8:W8)</f>
        <v>6000</v>
      </c>
      <c r="Y8" s="1" t="s">
        <v>53</v>
      </c>
      <c r="Z8" s="1" t="b">
        <v>0</v>
      </c>
      <c r="AA8" s="13">
        <v>37808</v>
      </c>
      <c r="AB8" s="11" t="s">
        <v>136</v>
      </c>
      <c r="AC8" s="18">
        <v>985</v>
      </c>
    </row>
    <row r="9" spans="1:30" ht="15" customHeight="1" x14ac:dyDescent="0.3">
      <c r="A9" s="19" t="s">
        <v>181</v>
      </c>
      <c r="B9" s="1" t="s">
        <v>189</v>
      </c>
      <c r="C9" s="1" t="s">
        <v>182</v>
      </c>
      <c r="D9" s="1" t="s">
        <v>183</v>
      </c>
      <c r="E9" s="5">
        <v>48119</v>
      </c>
      <c r="F9" s="3">
        <v>45870</v>
      </c>
      <c r="G9" s="3">
        <v>45870</v>
      </c>
      <c r="H9" s="3">
        <v>45870</v>
      </c>
      <c r="I9" s="1" t="s">
        <v>48</v>
      </c>
      <c r="J9" s="1">
        <v>2568999174</v>
      </c>
      <c r="K9" s="5">
        <v>45716</v>
      </c>
      <c r="L9" s="10">
        <v>45955</v>
      </c>
      <c r="M9" s="3">
        <v>46319</v>
      </c>
      <c r="N9" s="1">
        <v>545859761</v>
      </c>
      <c r="O9" s="1" t="s">
        <v>84</v>
      </c>
      <c r="P9" s="1" t="s">
        <v>21</v>
      </c>
      <c r="Q9" s="1">
        <v>9000</v>
      </c>
      <c r="X9" s="1">
        <f t="shared" si="1"/>
        <v>9000</v>
      </c>
      <c r="Y9" s="1" t="s">
        <v>53</v>
      </c>
      <c r="Z9" s="1" t="b">
        <v>0</v>
      </c>
      <c r="AA9" s="5">
        <v>25934</v>
      </c>
      <c r="AB9" s="11" t="s">
        <v>136</v>
      </c>
      <c r="AC9" s="18">
        <v>0</v>
      </c>
    </row>
    <row r="10" spans="1:30" ht="15" customHeight="1" x14ac:dyDescent="0.3">
      <c r="A10" s="19" t="s">
        <v>184</v>
      </c>
      <c r="B10" s="1" t="s">
        <v>24</v>
      </c>
      <c r="C10" s="1" t="s">
        <v>185</v>
      </c>
      <c r="D10" s="1" t="s">
        <v>186</v>
      </c>
      <c r="E10" s="5">
        <v>48065</v>
      </c>
      <c r="F10" s="5">
        <v>45988</v>
      </c>
      <c r="G10" s="5">
        <v>45988</v>
      </c>
      <c r="H10" s="5">
        <v>45988</v>
      </c>
      <c r="I10" s="1" t="s">
        <v>48</v>
      </c>
      <c r="J10" s="1">
        <v>2585707843</v>
      </c>
      <c r="K10" s="5">
        <v>46364</v>
      </c>
      <c r="L10" s="10">
        <v>45955</v>
      </c>
      <c r="M10" s="3">
        <v>46319</v>
      </c>
      <c r="N10" s="1">
        <v>549699442</v>
      </c>
      <c r="O10" s="1" t="s">
        <v>84</v>
      </c>
      <c r="P10" s="1" t="s">
        <v>21</v>
      </c>
      <c r="Q10" s="1">
        <v>5000</v>
      </c>
      <c r="X10" s="1">
        <f t="shared" si="1"/>
        <v>5000</v>
      </c>
      <c r="Y10" s="1" t="s">
        <v>53</v>
      </c>
      <c r="Z10" s="1" t="b">
        <v>0</v>
      </c>
      <c r="AA10" s="5">
        <v>35372</v>
      </c>
      <c r="AB10" s="11" t="s">
        <v>136</v>
      </c>
      <c r="AC10" s="18">
        <v>965</v>
      </c>
    </row>
    <row r="11" spans="1:30" ht="15" customHeight="1" x14ac:dyDescent="0.3">
      <c r="X11" s="1">
        <f>SUM(X2:X10)</f>
        <v>64500</v>
      </c>
      <c r="AC11" s="18">
        <f>SUM(AC2:AC10)</f>
        <v>8030</v>
      </c>
      <c r="AD11" s="18">
        <f>AC11+X11</f>
        <v>72530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FFI</vt:lpstr>
      <vt:lpstr>ASICOPRO</vt:lpstr>
      <vt:lpstr>Thuraya EST</vt:lpstr>
      <vt:lpstr>AJEER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Rey</dc:creator>
  <cp:lastModifiedBy>Joud Altewairgi</cp:lastModifiedBy>
  <dcterms:created xsi:type="dcterms:W3CDTF">2025-02-23T05:26:06Z</dcterms:created>
  <dcterms:modified xsi:type="dcterms:W3CDTF">2026-01-01T14:19:48Z</dcterms:modified>
</cp:coreProperties>
</file>